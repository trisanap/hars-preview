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" sheetId="1" r:id="rId5"/>
    <sheet state="visible" name="SPK" sheetId="2" r:id="rId6"/>
    <sheet state="visible" name="ST 2 org" sheetId="3" r:id="rId7"/>
    <sheet state="visible" name="ST 3 org" sheetId="4" r:id="rId8"/>
    <sheet state="visible" name="ST 4 org" sheetId="5" r:id="rId9"/>
    <sheet state="visible" name="Berkas Audit 2 org" sheetId="6" r:id="rId10"/>
    <sheet state="hidden" name="NVScriptsProperties" sheetId="7" r:id="rId11"/>
    <sheet state="visible" name="Berkas Audit 3 org" sheetId="8" r:id="rId12"/>
    <sheet state="visible" name="Berkas Audit 4 org" sheetId="9" r:id="rId13"/>
    <sheet state="visible" name="Empty" sheetId="10" r:id="rId14"/>
    <sheet state="hidden" name="DO NOT DELETE - AutoCrat Job Se" sheetId="11" r:id="rId15"/>
  </sheets>
  <definedNames/>
  <calcPr/>
</workbook>
</file>

<file path=xl/sharedStrings.xml><?xml version="1.0" encoding="utf-8"?>
<sst xmlns="http://schemas.openxmlformats.org/spreadsheetml/2006/main" count="2080" uniqueCount="1072">
  <si>
    <t>Sheet Summary (all generated contents from all the sheets within this spsheet will appear below)*</t>
  </si>
  <si>
    <t xml:space="preserve">MAIN FOLDER </t>
  </si>
  <si>
    <t>Surat dan Berkas Audit 2026 [Autocrat]</t>
  </si>
  <si>
    <t>No</t>
  </si>
  <si>
    <t>Nomor Daftar</t>
  </si>
  <si>
    <t>Nama PU</t>
  </si>
  <si>
    <t>Jenis Produk</t>
  </si>
  <si>
    <t>Tanggal Audit</t>
  </si>
  <si>
    <t>No. ST**</t>
  </si>
  <si>
    <t>No. SPK**</t>
  </si>
  <si>
    <t>Link Surat Tugas</t>
  </si>
  <si>
    <t>Link SPK</t>
  </si>
  <si>
    <t>Link Berkas Audit</t>
  </si>
  <si>
    <t>SURAT TUGAS</t>
  </si>
  <si>
    <t>Surat Tugas 2026</t>
  </si>
  <si>
    <t>SPK</t>
  </si>
  <si>
    <t>SPK 2026</t>
  </si>
  <si>
    <t>BERKAS AUDIT</t>
  </si>
  <si>
    <t>Berkas Audit 2026</t>
  </si>
  <si>
    <t>Link Daftar Nomor Surat LPH 2026</t>
  </si>
  <si>
    <t>NOMOR SURAT LPH</t>
  </si>
  <si>
    <t>Link Folder Data PU 2026</t>
  </si>
  <si>
    <t>DATA PU 2026</t>
  </si>
  <si>
    <t>*Move the generated contents to its corresponding client's folder (DATA PU 2026)</t>
  </si>
  <si>
    <t>**Each audit uses two reference numbers (e.g. 001 and 002) for ST and SPK</t>
  </si>
  <si>
    <t>Nomor Surat LPH (otomatis terisi $importrange - jangan diedit)</t>
  </si>
  <si>
    <t>Nomor</t>
  </si>
  <si>
    <t>Bulan</t>
  </si>
  <si>
    <t>Hari</t>
  </si>
  <si>
    <t>Tanggal</t>
  </si>
  <si>
    <t>Tempat</t>
  </si>
  <si>
    <t>Auditor</t>
  </si>
  <si>
    <t>Merged Doc ID - SPK 2026</t>
  </si>
  <si>
    <t>Merged Doc URL - SPK 2026</t>
  </si>
  <si>
    <t>Link to merged Doc - SPK 2026</t>
  </si>
  <si>
    <t>Document Merge Status - SPK 2026</t>
  </si>
  <si>
    <t>002</t>
  </si>
  <si>
    <t>I</t>
  </si>
  <si>
    <t>Senin</t>
  </si>
  <si>
    <t>5 Januari 2026</t>
  </si>
  <si>
    <t>Jl. Dr Muwardi No. 190-192, Cianjur, Jawa Barat</t>
  </si>
  <si>
    <r>
      <rPr>
        <rFont val="Arial"/>
        <color theme="1"/>
      </rPr>
      <t xml:space="preserve">Dr. Sandra Hermanto, </t>
    </r>
    <r>
      <rPr>
        <rFont val="Arial"/>
        <color rgb="FF000000"/>
      </rPr>
      <t>M.Si</t>
    </r>
    <r>
      <rPr>
        <rFont val="Arial"/>
        <color theme="1"/>
      </rPr>
      <t>.</t>
    </r>
  </si>
  <si>
    <t>SPPG ABDI BANGSA CIANJUR</t>
  </si>
  <si>
    <t>1oqu_mMyloJbqQ36gX1w5MOexQ5Lj_dox</t>
  </si>
  <si>
    <t>https://drive.google.com/file/d/1oqu_mMyloJbqQ36gX1w5MOexQ5Lj_dox/view?usp=drivesdk</t>
  </si>
  <si>
    <t>Document successfully created; Document successfully merged; PDF created; Manually run by admlphuinjkt@gmail.com; Timestamp: Jan 6 2026 3:48 AM</t>
  </si>
  <si>
    <t>004</t>
  </si>
  <si>
    <t xml:space="preserve">Senin </t>
  </si>
  <si>
    <t>12 Januari 2026</t>
  </si>
  <si>
    <t>Jl. Sumur Batu Raya RT 016 RW 002 No. 1, Kel. Sumur Batu, Kec. Kemayoran</t>
  </si>
  <si>
    <r>
      <rPr/>
      <t xml:space="preserve">Dr. Adi Riyadhi, </t>
    </r>
    <r>
      <rPr>
        <color rgb="FF1155CC"/>
        <u/>
      </rPr>
      <t>M.Si</t>
    </r>
    <r>
      <rPr/>
      <t>.</t>
    </r>
  </si>
  <si>
    <t>AYAM GORENG HAPPY</t>
  </si>
  <si>
    <t>1R__xp8_dTVJXL2pAOX3wDQ7xCcclToLO</t>
  </si>
  <si>
    <t>https://drive.google.com/file/d/1R__xp8_dTVJXL2pAOX3wDQ7xCcclToLO/view?usp=drivesdk</t>
  </si>
  <si>
    <t>Document successfully created; Document successfully merged; PDF created; Manually run by admlphuinjkt@gmail.com; Timestamp: Jan 11 2026 8:04 PM</t>
  </si>
  <si>
    <t>006</t>
  </si>
  <si>
    <t>Selasa</t>
  </si>
  <si>
    <t>13 Januari 2026</t>
  </si>
  <si>
    <t>Jl. Margonda Raya No.518 E, RT 004 RW 005, Kel. Pondok Cina, Kec. Beji, Kota Depok, Jawa Barat, 16421,
Jl. Raya Kelapa Nias No. 5A Blok QE1 RT 014/RW 006, Kel. Kelapa Gading Barat, Kec. Kelapa Gading, Jakarta Utara, DKI Jakarta</t>
  </si>
  <si>
    <t>Dr. Yusraini Dian Inayati Siregar, M.Si.</t>
  </si>
  <si>
    <t>WILLIEM</t>
  </si>
  <si>
    <t>1nDq7pfwtVf5j9924MCxu2YDsbBqvnVa0</t>
  </si>
  <si>
    <t>https://drive.google.com/file/d/1nDq7pfwtVf5j9924MCxu2YDsbBqvnVa0/view?usp=drivesdk</t>
  </si>
  <si>
    <t>Document successfully created; Document successfully merged; PDF created; Manually run by admlphuinjkt@gmail.com; Timestamp: Jan 12 2026 7:38 AM</t>
  </si>
  <si>
    <t>008</t>
  </si>
  <si>
    <t>Jl Kemang Selatan No 106, Jakarta Selatan</t>
  </si>
  <si>
    <t>HJ MARDIAH DAN HJ CHALIMAH</t>
  </si>
  <si>
    <t>19ZnHJ9lerPnyc5mB7DTyuLt-FLN_QWVF</t>
  </si>
  <si>
    <t>https://drive.google.com/file/d/19ZnHJ9lerPnyc5mB7DTyuLt-FLN_QWVF/view?usp=drivesdk</t>
  </si>
  <si>
    <t>Document successfully created; Document successfully merged; PDF created; Manually run by admlphuinjkt@gmail.com; Timestamp: Jan 12 2026 7:56 AM</t>
  </si>
  <si>
    <t>010</t>
  </si>
  <si>
    <t xml:space="preserve">Rabu </t>
  </si>
  <si>
    <t xml:space="preserve">14 Januari 2026 </t>
  </si>
  <si>
    <t>Komplek Pergudangan Taman Tekno BSD Blok E2/18 BSD Sektor XI E 02/19, Kelurahan Setu, Kecamatan Setu, Kota Tangerang Selatan, Provinsi Banten, 15314</t>
  </si>
  <si>
    <t>Dr. Adi Riyadhi, M.Si.</t>
  </si>
  <si>
    <t>PT. LEAN LAB INDONESIA</t>
  </si>
  <si>
    <t>1gPinhmTNPZgRF9OMAByXxkiMajbNQ4Mz</t>
  </si>
  <si>
    <t>https://drive.google.com/file/d/1gPinhmTNPZgRF9OMAByXxkiMajbNQ4Mz/view?usp=drivesdk</t>
  </si>
  <si>
    <t>Document successfully created; Document successfully merged; PDF created; Manually run by admlphuinjkt@gmail.com; Timestamp: Jan 13 2026 9:24 AM</t>
  </si>
  <si>
    <t>012</t>
  </si>
  <si>
    <t>Jum'at</t>
  </si>
  <si>
    <t>16 Januari 2026</t>
  </si>
  <si>
    <t>Jl. Dr. Sitanala No. 18 RT.01/RW.01, Kel. Karang Sari, Kec. Neglasari, Kota Tangerang, Banten, 15129</t>
  </si>
  <si>
    <r>
      <rPr>
        <rFont val="Arial"/>
        <color theme="1"/>
      </rPr>
      <t xml:space="preserve">Dr. Sandra Hermanto, </t>
    </r>
    <r>
      <rPr>
        <rFont val="Arial"/>
        <color rgb="FF000000"/>
      </rPr>
      <t>M.Si</t>
    </r>
    <r>
      <rPr>
        <rFont val="Arial"/>
        <color theme="1"/>
      </rPr>
      <t>.</t>
    </r>
  </si>
  <si>
    <t>Ati Herawati</t>
  </si>
  <si>
    <t>11Thgeqzfi64B1BxZNgV78wJy7IfBVNcC</t>
  </si>
  <si>
    <t>https://drive.google.com/file/d/11Thgeqzfi64B1BxZNgV78wJy7IfBVNcC/view?usp=drivesdk</t>
  </si>
  <si>
    <t>Document successfully created; Document successfully merged; PDF created; Manually run by admlphuinjkt@gmail.com; Timestamp: Jan 15 2026 4:59 AM</t>
  </si>
  <si>
    <t>014</t>
  </si>
  <si>
    <t>Ruko Evergreen Blok L10 / 06, Citra Raya, Kel. Mekar Bakti, Kec. Panongan, Kab. Tangerang, Banten, 15710</t>
  </si>
  <si>
    <r>
      <rPr>
        <rFont val="Arial"/>
        <color theme="1"/>
      </rPr>
      <t xml:space="preserve">Dr. Sandra Hermanto, </t>
    </r>
    <r>
      <rPr>
        <rFont val="Arial"/>
        <color rgb="FF000000"/>
      </rPr>
      <t>M.Si</t>
    </r>
    <r>
      <rPr>
        <rFont val="Arial"/>
        <color theme="1"/>
      </rPr>
      <t>.</t>
    </r>
  </si>
  <si>
    <t>Yovita Kristi Handayani</t>
  </si>
  <si>
    <t>1OhWLyzO9CTPDmauPhFnH3GQ5fUpEpkxc</t>
  </si>
  <si>
    <t>https://drive.google.com/file/d/1OhWLyzO9CTPDmauPhFnH3GQ5fUpEpkxc/view?usp=drivesdk</t>
  </si>
  <si>
    <t>016</t>
  </si>
  <si>
    <t>Griya Lebak Wangi 1, blok A6/1, Sepatan Timur, Kab. Tangerang, Banten.</t>
  </si>
  <si>
    <r>
      <rPr>
        <rFont val="Arial"/>
        <color theme="1"/>
      </rPr>
      <t xml:space="preserve">Dr. Sandra Hermanto, </t>
    </r>
    <r>
      <rPr>
        <rFont val="Arial"/>
        <color rgb="FF000000"/>
      </rPr>
      <t>M.Si</t>
    </r>
    <r>
      <rPr>
        <rFont val="Arial"/>
        <color theme="1"/>
      </rPr>
      <t>.</t>
    </r>
  </si>
  <si>
    <t>AKHMAT YATIM</t>
  </si>
  <si>
    <t>1KWuVp_CGUg6woEUb_3pjXNgu7swB_yiD</t>
  </si>
  <si>
    <t>https://drive.google.com/file/d/1KWuVp_CGUg6woEUb_3pjXNgu7swB_yiD/view?usp=drivesdk</t>
  </si>
  <si>
    <t>Document successfully created; Document successfully merged; PDF created; Manually run by admlphuinjkt@gmail.com; Timestamp: Jan 15 2026 4:40 AM</t>
  </si>
  <si>
    <t>023</t>
  </si>
  <si>
    <t>23 Januari 2026</t>
  </si>
  <si>
    <t>Jl. Jembatan Hitam No.135, RT 03 RW 10, Cijujung, Sukaraja, Bogor, Jawa Barat</t>
  </si>
  <si>
    <t>INTERNATIONAL CASSAVA CENTER</t>
  </si>
  <si>
    <t>1Du0Y5USrE3tenMeFJ3hhDO7A2MyRv1hG</t>
  </si>
  <si>
    <t>https://drive.google.com/file/d/1Du0Y5USrE3tenMeFJ3hhDO7A2MyRv1hG/view?usp=drivesdk</t>
  </si>
  <si>
    <t>Document successfully created; Document successfully merged; PDF created; Manually run by admlphuinjkt@gmail.com; Timestamp: Jan 22 2026 11:14 PM</t>
  </si>
  <si>
    <t>026</t>
  </si>
  <si>
    <t>27 Januari 2026</t>
  </si>
  <si>
    <t>Lantai UG, Nomor UG-F-17A, Bintaro Jaya Xchange Mall 2, Pondok Aren, Kota Tangerang Selatan, Banten</t>
  </si>
  <si>
    <t>KULINER PRIMA VIDYA</t>
  </si>
  <si>
    <t>1aZOTuYlAPGczP1zWZZB9ro0Ru_or_5ND</t>
  </si>
  <si>
    <t>https://drive.google.com/file/d/1aZOTuYlAPGczP1zWZZB9ro0Ru_or_5ND/view?usp=drivesdk</t>
  </si>
  <si>
    <t>Document successfully created; Document successfully merged; PDF created; Manually run by admlphuinjkt@gmail.com; Timestamp: Jan 26 2026 12:10 AM</t>
  </si>
  <si>
    <t>032</t>
  </si>
  <si>
    <t>Jl. Kihajar Dewantara No.4, Ciputat, Tangerang Selatan.</t>
  </si>
  <si>
    <t xml:space="preserve">AYAM GORENG REMPAH MURNI </t>
  </si>
  <si>
    <t>1qpQRin7aMkcWvSd-FqtelOELpegJp3lW</t>
  </si>
  <si>
    <t>https://drive.google.com/file/d/1qpQRin7aMkcWvSd-FqtelOELpegJp3lW/view?usp=drivesdk</t>
  </si>
  <si>
    <t>Document successfully created; Document successfully merged; PDF created; Manually run by admlphuinjkt@gmail.com; Timestamp: Jan 26 2026 10:31 AM</t>
  </si>
  <si>
    <t>034</t>
  </si>
  <si>
    <t xml:space="preserve">Jl. Kemuning 8 Blok F2, No. 12 Taman Kedaung </t>
  </si>
  <si>
    <t>AMELISAH BAKSO HUHAHUHA</t>
  </si>
  <si>
    <t>1PuLHl5UfEC558pBz-CPIJzb3idJpVhNT</t>
  </si>
  <si>
    <t>https://drive.google.com/file/d/1PuLHl5UfEC558pBz-CPIJzb3idJpVhNT/view?usp=drivesdk</t>
  </si>
  <si>
    <t>036</t>
  </si>
  <si>
    <t>Jl. Raya Centex, Gg. Swadaya IV, Kel.Ciracas, Kec. Ciracas, Jakarta Timur</t>
  </si>
  <si>
    <t>AKHIDIN S</t>
  </si>
  <si>
    <t>1zWpL7nFgtPQeot6jNZ7OIHtJS0WlH5ov</t>
  </si>
  <si>
    <t>https://drive.google.com/file/d/1zWpL7nFgtPQeot6jNZ7OIHtJS0WlH5ov/view?usp=drivesdk</t>
  </si>
  <si>
    <t>038</t>
  </si>
  <si>
    <t>II</t>
  </si>
  <si>
    <t>Kamis</t>
  </si>
  <si>
    <t>5 Februari 2026</t>
  </si>
  <si>
    <t>No. 17H RT005/05, Jl. H. Baping, RT.10/RW.7, Susukan, Kec. Ciracas, Kota Jakarta Timur, Daerah Khusus Jakarta</t>
  </si>
  <si>
    <t>MAT CHOLIL</t>
  </si>
  <si>
    <t>1xQkdZOtM_k0BXNw2u5SBVgUIOL8mz057</t>
  </si>
  <si>
    <t>https://drive.google.com/file/d/1xQkdZOtM_k0BXNw2u5SBVgUIOL8mz057/view?usp=drivesdk</t>
  </si>
  <si>
    <t>Document successfully created; Document successfully merged; PDF created; Manually run by admlphuinjkt@gmail.com; Timestamp: Feb 13 2026 7:42 AM</t>
  </si>
  <si>
    <t>044</t>
  </si>
  <si>
    <t>13 Februari 2026</t>
  </si>
  <si>
    <t>Ruko Mahkota Mas Blk H 38, JL. MH. Thamrin, Kel. Cikokol, Kec. Tangerang, Kota Tangerang, Banten</t>
  </si>
  <si>
    <t>PT. ABI HERBAL INDONESIA</t>
  </si>
  <si>
    <t>1eTQ1iuisjoRP0z0xLqaqbGuuF84HaHgy</t>
  </si>
  <si>
    <t>https://drive.google.com/file/d/1eTQ1iuisjoRP0z0xLqaqbGuuF84HaHgy/view?usp=drivesdk</t>
  </si>
  <si>
    <t>047</t>
  </si>
  <si>
    <t>Sabtu</t>
  </si>
  <si>
    <t>14 Februari 2026</t>
  </si>
  <si>
    <t>Jl.Cempaka Putih Barat 3, Cempaka Putih, Cempaka Putih, Jakarta Pusat</t>
  </si>
  <si>
    <r>
      <rPr>
        <rFont val="Arial"/>
        <color theme="1"/>
      </rPr>
      <t xml:space="preserve">Dr. Sandra Hermanto, </t>
    </r>
    <r>
      <rPr>
        <rFont val="Arial"/>
        <color rgb="FF000000"/>
      </rPr>
      <t>M.Si</t>
    </r>
    <r>
      <rPr>
        <rFont val="Arial"/>
        <color theme="1"/>
      </rPr>
      <t>.</t>
    </r>
  </si>
  <si>
    <t>HERRY CHANDRA</t>
  </si>
  <si>
    <t>14s0nVWbh4jO3iwSRCOG5WGlRVZeRv1dk</t>
  </si>
  <si>
    <t>https://drive.google.com/file/d/14s0nVWbh4jO3iwSRCOG5WGlRVZeRv1dk/view?usp=drivesdk</t>
  </si>
  <si>
    <t>049</t>
  </si>
  <si>
    <t>19 Februari 2026</t>
  </si>
  <si>
    <t>Jl. Raya H. Abdullah No.59, RT.001/RW.3, Pakulonan Barat, Kecamatan Kelapa Dua, Kabupaten Tangerang, Banten 15810·90 m</t>
  </si>
  <si>
    <r>
      <rPr>
        <rFont val="Arial"/>
        <color theme="1"/>
      </rPr>
      <t xml:space="preserve">Dr. Sandra Hermanto, </t>
    </r>
    <r>
      <rPr>
        <rFont val="Arial"/>
        <color rgb="FF000000"/>
      </rPr>
      <t>M.Si</t>
    </r>
    <r>
      <rPr>
        <rFont val="Arial"/>
        <color theme="1"/>
      </rPr>
      <t>.</t>
    </r>
  </si>
  <si>
    <t>PT. SEHATI BERSAMA ABADI</t>
  </si>
  <si>
    <t>1XlXDQuPlWYOruogKVsJajdpeyou06Cjz</t>
  </si>
  <si>
    <t>https://drive.google.com/file/d/1XlXDQuPlWYOruogKVsJajdpeyou06Cjz/view?usp=drivesdk</t>
  </si>
  <si>
    <t>Document successfully created; Document successfully merged; PDF created; Manually run by admlphuinjkt@gmail.com; Timestamp: Feb 18 2026 3:39 AM</t>
  </si>
  <si>
    <t>050</t>
  </si>
  <si>
    <t>19 Febuari 2026</t>
  </si>
  <si>
    <t>Jl. Sarang Bango No.6, RT.7/RW.5, Marunda, Kec. Cilincing</t>
  </si>
  <si>
    <t>SAKIKO TERUS JAYA</t>
  </si>
  <si>
    <t>1zsAebtBw93pQxGN_61vwYG_3ArKb4jDb</t>
  </si>
  <si>
    <t>https://drive.google.com/file/d/1zsAebtBw93pQxGN_61vwYG_3ArKb4jDb/view?usp=drivesdk</t>
  </si>
  <si>
    <t>Document successfully created; Document successfully merged; PDF created; Manually run by admlphuinjkt@gmail.com; Timestamp: Feb 18 2026 7:35 PM</t>
  </si>
  <si>
    <t>056</t>
  </si>
  <si>
    <t>26 Febuari 2026</t>
  </si>
  <si>
    <t xml:space="preserve">Jl. Raya Setu Kp. Cibuntu Rt.001/007 Desa Cibuntu Kec.Cibitung Kab.Bekasi 17520 </t>
  </si>
  <si>
    <t>DRA WARDATUL ASRIAH</t>
  </si>
  <si>
    <t>1r5oydXGBbCvokYHZAOvFHqJjMZ4DhL5Z</t>
  </si>
  <si>
    <t>https://drive.google.com/file/d/1r5oydXGBbCvokYHZAOvFHqJjMZ4DhL5Z/view?usp=drivesdk</t>
  </si>
  <si>
    <t>Document successfully created; Document successfully merged; PDF created; Manually run by admlphuinjkt@gmail.com; Timestamp: Feb 25 2026 12:37 AM</t>
  </si>
  <si>
    <t>058</t>
  </si>
  <si>
    <t>JL. Kalisari III Sari Indah Residence Gang Buntu No. 73 Pasar Rebo</t>
  </si>
  <si>
    <t>1efjHSHjtCNfgAP1f3f3GBVYNb19-DFEM</t>
  </si>
  <si>
    <t>https://drive.google.com/file/d/1efjHSHjtCNfgAP1f3f3GBVYNb19-DFEM/view?usp=drivesdk</t>
  </si>
  <si>
    <t>061</t>
  </si>
  <si>
    <t>Jumat</t>
  </si>
  <si>
    <t>27 Februari 2026</t>
  </si>
  <si>
    <t>Emerald Townhouse Blok AF 03, Parigi, Pondok Aren, Tangerang Selatan</t>
  </si>
  <si>
    <t>TOYA BUMI BERSIH</t>
  </si>
  <si>
    <t>1bfq7t28fXm90WVcLYLcGT8D3I686Gj5f</t>
  </si>
  <si>
    <t>https://drive.google.com/file/d/1bfq7t28fXm90WVcLYLcGT8D3I686Gj5f/view?usp=drivesdk</t>
  </si>
  <si>
    <t>Document successfully created; Document successfully merged; PDF created; Manually run by admlphuinjkt@gmail.com; Timestamp: Feb 26 2026 6:44 PM</t>
  </si>
  <si>
    <t>063</t>
  </si>
  <si>
    <t>III</t>
  </si>
  <si>
    <t>4 Maret 2026</t>
  </si>
  <si>
    <t>Jl. Kubis 3, No. 8, Pondok Cabe Ilir, Kecamatan Pamulang</t>
  </si>
  <si>
    <t>TB YANUAR ARYANDI</t>
  </si>
  <si>
    <t>1RgNyIEu9jXFjZs2Uf00as476WbnL0MkX</t>
  </si>
  <si>
    <t>https://drive.google.com/file/d/1RgNyIEu9jXFjZs2Uf00as476WbnL0MkX/view?usp=drivesdk</t>
  </si>
  <si>
    <t>Document successfully created; Document successfully merged; PDF created; Manually run by admlphuinjkt@gmail.com; Timestamp: Mar 1 2026 11:59 PM</t>
  </si>
  <si>
    <t>066</t>
  </si>
  <si>
    <t>6 Maret 2026</t>
  </si>
  <si>
    <t>Jl. Harapan VIII Kawasan Industri KIIC Lot LL-17, Parungmulya, Ciampel, Karawang, West Java 41361</t>
  </si>
  <si>
    <t>BLASFOLIE INTERNASIONAL INDONESIA</t>
  </si>
  <si>
    <t>1vPt9KUzs9xiT4ZyfI_6yvUj1KQvoQ1t7</t>
  </si>
  <si>
    <t>https://drive.google.com/file/d/1vPt9KUzs9xiT4ZyfI_6yvUj1KQvoQ1t7/view?usp=drivesdk</t>
  </si>
  <si>
    <t>Document successfully created; Document successfully merged; PDF created; Manually run by admlphuinjkt@gmail.com; Timestamp: Mar 5 2026 12:23 AM</t>
  </si>
  <si>
    <t>068</t>
  </si>
  <si>
    <t>11 Maret 2026</t>
  </si>
  <si>
    <t>Jl. Jelambar Utama III No.22, RT.3/RW.8, Jelambar, Kec. Grogol petamburan, Kota Jakarta Barat, Daerah Khusus Ibukota Jakarta 11460</t>
  </si>
  <si>
    <t>Dr. Sandra Hermanto, M.Si.</t>
  </si>
  <si>
    <t>ASHRI AFIFI</t>
  </si>
  <si>
    <t>1hcgycVp6kzsV_EREo3TmjEaWtYI7RbB6</t>
  </si>
  <si>
    <t>https://drive.google.com/file/d/1hcgycVp6kzsV_EREo3TmjEaWtYI7RbB6/view?usp=drivesdk</t>
  </si>
  <si>
    <t>Document successfully created; Document successfully merged; PDF created; Manually run by admlphuinjkt@gmail.com; Timestamp: Mar 8 2026 6:32 PM</t>
  </si>
  <si>
    <t>070</t>
  </si>
  <si>
    <t>1phQr7QjgXdA-UvDCS8_wsrJulzSVAvCl</t>
  </si>
  <si>
    <t>https://drive.google.com/file/d/1phQr7QjgXdA-UvDCS8_wsrJulzSVAvCl/view?usp=drivesdk</t>
  </si>
  <si>
    <t>Document successfully created; Document successfully merged; PDF created; Manually run by admlphuinjkt@gmail.com; Timestamp: Mar 8 2026 6:33 PM</t>
  </si>
  <si>
    <t>072</t>
  </si>
  <si>
    <t>12 Maret 2026</t>
  </si>
  <si>
    <t>Perum Puri Tamarin, Jalan Aster Blok A3 Nomor 5, RT/RW 001/014, Pisangan Jaya, Sepatan</t>
  </si>
  <si>
    <t>CV. INDO AROMA UTAMA</t>
  </si>
  <si>
    <t>10y9VkZLKJuldJRDVZK55jmTrP4Z5Il5C</t>
  </si>
  <si>
    <t>https://drive.google.com/file/d/10y9VkZLKJuldJRDVZK55jmTrP4Z5Il5C/view?usp=drivesdk</t>
  </si>
  <si>
    <t>074</t>
  </si>
  <si>
    <t>09 MAret 2026</t>
  </si>
  <si>
    <t>Mega Residence Blok B1, Cikarang Timur Bekasi</t>
  </si>
  <si>
    <t>Malik Jabbar Herbalindo</t>
  </si>
  <si>
    <t>1_Eb7Nsr265CSQu505YOrBb33D3lHOfon</t>
  </si>
  <si>
    <t>https://drive.google.com/file/d/1_Eb7Nsr265CSQu505YOrBb33D3lHOfon/view?usp=drivesdk</t>
  </si>
  <si>
    <t>076</t>
  </si>
  <si>
    <t xml:space="preserve">Jum'at </t>
  </si>
  <si>
    <t xml:space="preserve">13 Maret 2026 </t>
  </si>
  <si>
    <t>Jl. Industri Raya IV Blok Ai No. 54 Kawasan Industri Jatake,
Desa/Kel.Bunder Kec. Cikupa, Kabupaten Tangerang,
Banten 15710</t>
  </si>
  <si>
    <t>PT. Inocrea Indonesia</t>
  </si>
  <si>
    <t>137sLOKNB-ex_RxXr6jln-RboSSKAouDK</t>
  </si>
  <si>
    <t>https://drive.google.com/file/d/137sLOKNB-ex_RxXr6jln-RboSSKAouDK/view?usp=drivesdk</t>
  </si>
  <si>
    <t>Document successfully created; Document successfully merged; PDF created; Manually run by admlphuinjkt@gmail.com; Timestamp: Mar 12 2026 12:08 PM</t>
  </si>
  <si>
    <t>078</t>
  </si>
  <si>
    <t>1T4XnEpZsk5aTySAXW7LuqFWuo3Z1udcO</t>
  </si>
  <si>
    <t>https://drive.google.com/file/d/1T4XnEpZsk5aTySAXW7LuqFWuo3Z1udcO/view?usp=drivesdk</t>
  </si>
  <si>
    <t>Document successfully created; Document successfully merged; PDF created; Manually run by admlphuinjkt@gmail.com; Timestamp: Mar 12 2026 5:02 PM</t>
  </si>
  <si>
    <t>081</t>
  </si>
  <si>
    <t>IV</t>
  </si>
  <si>
    <t>03 April 2026</t>
  </si>
  <si>
    <t>Komplek Duta Harapan Indah, Blok N NO. 45, Kota Jakarta Utara</t>
  </si>
  <si>
    <t>MAJU BAHAGIA CAKUE</t>
  </si>
  <si>
    <t>11MBaPy7H1ZU4XdMu__evscBc8rdlY3yx</t>
  </si>
  <si>
    <t>https://drive.google.com/file/d/11MBaPy7H1ZU4XdMu__evscBc8rdlY3yx/view?usp=drivesdk</t>
  </si>
  <si>
    <t>Document successfully created; Document successfully merged; PDF created; Manually run by admlphuinjkt@gmail.com; Timestamp: Apr 2 2026 10:41 AM</t>
  </si>
  <si>
    <t>083</t>
  </si>
  <si>
    <t>06 April 2026</t>
  </si>
  <si>
    <t>Komplek Ruko Thamrin Residence Blok RB 11, Jl. Kebon Kacang Raya Tanah Abang</t>
  </si>
  <si>
    <t>MINYAK URAPAN ANGGUR</t>
  </si>
  <si>
    <t>1EjrGCnrWJhgn8ANe0mgW9q2MNPQIboG6</t>
  </si>
  <si>
    <t>https://drive.google.com/file/d/1EjrGCnrWJhgn8ANe0mgW9q2MNPQIboG6/view?usp=drivesdk</t>
  </si>
  <si>
    <t>086</t>
  </si>
  <si>
    <t>TOWNHOUSE MUTIARA PEJATEN JL. WARGA NO.88 KAV. Pasar Minggu</t>
  </si>
  <si>
    <t>WINDY RALLY GIANA LESMANA</t>
  </si>
  <si>
    <t>1YgRgGiBO25xUGNwjUq5Z9bi22zTb1WTG</t>
  </si>
  <si>
    <t>https://drive.google.com/file/d/1YgRgGiBO25xUGNwjUq5Z9bi22zTb1WTG/view?usp=drivesdk</t>
  </si>
  <si>
    <t>Document successfully created; Document successfully merged; PDF created; Manually run by admlphuinjkt@gmail.com; Timestamp: Apr 15 2026 1:45 AM</t>
  </si>
  <si>
    <t>092</t>
  </si>
  <si>
    <t>Jln. Tipar Cakung, Desa/Kelurahan Sukapura, Kec. Cilincing, Kota Adm. Jakarta Utara, Provinsi DKI Jakarta</t>
  </si>
  <si>
    <t>NASI GORENG PADANG BUNDO KANDUANG</t>
  </si>
  <si>
    <t>13wMFlvs3329k8YAfcXdh3Gwh34XGvtQU</t>
  </si>
  <si>
    <t>https://drive.google.com/file/d/13wMFlvs3329k8YAfcXdh3Gwh34XGvtQU/view?usp=drivesdk</t>
  </si>
  <si>
    <t>094</t>
  </si>
  <si>
    <t>Jl. Siter Blok E No. 13 Kelapa Gading, Desa/Kelurahan Pengangsaan Dua, Kec. Kelapa Gading, Kota Adm. Jakarta Utara, Provinsi DKI Jakarta</t>
  </si>
  <si>
    <t>MINUMAN RINGAN KOMBUCHA</t>
  </si>
  <si>
    <t>1AQxcoTDM7RNxauZqAkVF8KhgP3eNk_QB</t>
  </si>
  <si>
    <t>https://drive.google.com/file/d/1AQxcoTDM7RNxauZqAkVF8KhgP3eNk_QB/view?usp=drivesdk</t>
  </si>
  <si>
    <t>090</t>
  </si>
  <si>
    <t xml:space="preserve">Kamis </t>
  </si>
  <si>
    <t>JL Pegambiran No 57 RT 8 RW 10, Desa/Kelurahan Jati, Kec. Pulogadung, Kota Adm. Jakarta Timur, Provinsi DKI JakartaKode Pos: 13220</t>
  </si>
  <si>
    <t xml:space="preserve">Apt. Mabrurotul Mustafidah, M.Pharm.Sci </t>
  </si>
  <si>
    <t>Nasi Kuning Pengambiran 57</t>
  </si>
  <si>
    <t>1pCjTCnnpD8445BEno_7i1mZQp9y2c8yb</t>
  </si>
  <si>
    <t>https://drive.google.com/file/d/1pCjTCnnpD8445BEno_7i1mZQp9y2c8yb/view?usp=drivesdk</t>
  </si>
  <si>
    <t>088</t>
  </si>
  <si>
    <t>Gang Palem, Desa/Kelurahan Ulujami, Kecamatan Pesanggrahan, Kota Administrasi Jakarta Selatan, Provinsi Daerah Kota Jakarta</t>
  </si>
  <si>
    <t>MINANG MURT</t>
  </si>
  <si>
    <t>10udrWeeI02aBiLcC7Q-E43-qAfMdYJdU</t>
  </si>
  <si>
    <t>https://drive.google.com/file/d/10udrWeeI02aBiLcC7Q-E43-qAfMdYJdU/view?usp=drivesdk</t>
  </si>
  <si>
    <t>100</t>
  </si>
  <si>
    <t>Perumahan Oriana Permata, Jl. Oriana XI Blok F11/6, RT 002 RW 021, Kel. Jombang, Kec. Ciputat, Kota Tangerang Selatan, Banten 15414</t>
  </si>
  <si>
    <t>PAON-KOE</t>
  </si>
  <si>
    <t>1fi-O46f-evjBqfO297BfBa2aluoSipec</t>
  </si>
  <si>
    <t>https://drive.google.com/file/d/1fi-O46f-evjBqfO297BfBa2aluoSipec/view?usp=drivesdk</t>
  </si>
  <si>
    <t>Document successfully created; Document successfully merged; PDF created; Manually run by admlphuinjkt@gmail.com; Timestamp: Apr 15 2026 1:46 AM</t>
  </si>
  <si>
    <t>101</t>
  </si>
  <si>
    <t>Komplek Harperindo Jalan Harapan Permai 1 Blok A2 no. 1B, Cempaka Putih, Ciputat Timur, Tangerang Selatan, Banten</t>
  </si>
  <si>
    <t>Bakemood Bakehouse</t>
  </si>
  <si>
    <t>1i0eqD7NSGOJ13NC7ILPHhJnjXT_hvmI0</t>
  </si>
  <si>
    <t>https://drive.google.com/file/d/1i0eqD7NSGOJ13NC7ILPHhJnjXT_hvmI0/view?usp=drivesdk</t>
  </si>
  <si>
    <t>096</t>
  </si>
  <si>
    <t>Jl. Peninggaran Timur III No. 23c, RT. 005 RW. 009, Kel. Kebayoran Lama Utara, Kec.
Kebayoran Lama, Kota Jakarta Selatan, Daerah Khusus Ibukota Jakarta 12240</t>
  </si>
  <si>
    <t>Apt. Mabrurotul Mustafidah, M.Pharm.Sci</t>
  </si>
  <si>
    <t>FAUZIAH S.</t>
  </si>
  <si>
    <t>13d8BvIGVism0PGc1IOHf5H6WSXjr3LIO</t>
  </si>
  <si>
    <t>https://drive.google.com/file/d/13d8BvIGVism0PGc1IOHf5H6WSXjr3LIO/view?usp=drivesdk</t>
  </si>
  <si>
    <t>Document successfully created; Document successfully merged; PDF created; Manually run by admlphuinjkt@gmail.com; Timestamp: Apr 15 2026 2:36 AM</t>
  </si>
  <si>
    <t>104</t>
  </si>
  <si>
    <t>Jl. Bungur Indah NO.31, Desa/Kelurahan Rawakalong,
Kec. Gunung Sindur, Kab. Bogor, Provinsi Jawa Barat,</t>
  </si>
  <si>
    <t>Nahla Qurrotu'ain, S.Si.</t>
  </si>
  <si>
    <t>Yayasan Sinergi Langkah Kemakmuran</t>
  </si>
  <si>
    <t>1sELlbEILeNgxmSU9xyHGkzRrIjckLiqz</t>
  </si>
  <si>
    <t>https://drive.google.com/file/d/1sELlbEILeNgxmSU9xyHGkzRrIjckLiqz/view?usp=drivesdk</t>
  </si>
  <si>
    <t>Document successfully created; Document successfully merged; PDF created; Manually run by admlphuinjkt@gmail.com; Timestamp: Apr 15 2026 9:18 PM</t>
  </si>
  <si>
    <t>105</t>
  </si>
  <si>
    <t>Jl Raya Bojong Ruko RT 003/002 Lantai 2 Bojong, Kecamatan Kemang Kabupaten Bogor, 16310.</t>
  </si>
  <si>
    <t>Tanti Sopiah</t>
  </si>
  <si>
    <t>1z_pmC7x76p6AkIXibyCNKM6L45P_0kCu</t>
  </si>
  <si>
    <t>https://drive.google.com/file/d/1z_pmC7x76p6AkIXibyCNKM6L45P_0kCu/view?usp=drivesdk</t>
  </si>
  <si>
    <t>107</t>
  </si>
  <si>
    <t>Jl. Atmajaya No.95, Desa/Kelurahan Bakti Jaya, Kec.Setu, Kota Tangerang Selatan, Provinsi Banten</t>
  </si>
  <si>
    <t>DIMSUM WON</t>
  </si>
  <si>
    <t>12t8nNdKx5Wc6tEi7F7hy18kpqw5JN1mn</t>
  </si>
  <si>
    <t>https://drive.google.com/file/d/12t8nNdKx5Wc6tEi7F7hy18kpqw5JN1mn/view?usp=drivesdk</t>
  </si>
  <si>
    <t>109</t>
  </si>
  <si>
    <t>Kawasan Multiguna Bizpoint Blok Eindhoven No. 12 &amp; 16 Jl. Raya Pemda Cikupa</t>
  </si>
  <si>
    <t>PT DOMIKOS INDONESIA</t>
  </si>
  <si>
    <t>1QKItw_PdkBqEbrB3lly1jp_xUQNKjhyu</t>
  </si>
  <si>
    <t>https://drive.google.com/file/d/1QKItw_PdkBqEbrB3lly1jp_xUQNKjhyu/view?usp=drivesdk</t>
  </si>
  <si>
    <t>114</t>
  </si>
  <si>
    <t>Jl. Muara Karang Blok G -6B/30, RT 013/016,Pluit, Penjaringan, Jakarta Utara</t>
  </si>
  <si>
    <t>AURORA REMPAH NUSANTARA</t>
  </si>
  <si>
    <t>1nL9PqYwDzNY100YymL3Z-WadPmdUwEh6</t>
  </si>
  <si>
    <t>https://drive.google.com/file/d/1nL9PqYwDzNY100YymL3Z-WadPmdUwEh6/view?usp=drivesdk</t>
  </si>
  <si>
    <t>Document successfully created; Document successfully merged; PDF created; Manually run by admlphuinjkt@gmail.com; Timestamp: Apr 16 2026 6:24 AM</t>
  </si>
  <si>
    <t>116</t>
  </si>
  <si>
    <t>POINS Mall Lantai UG No.1-3 &amp; No.65-59, Jl. R.A. Kartini No.1, Lb. Bulus, jakarta, Daerah Khusus Ibukota Jakarta 12440</t>
  </si>
  <si>
    <t>ANUGERAH KENYANG BERSAMA</t>
  </si>
  <si>
    <t>1wOlyKez7EFbavrHGDNo6O6M8sV8a6uCo</t>
  </si>
  <si>
    <t>https://drive.google.com/file/d/1wOlyKez7EFbavrHGDNo6O6M8sV8a6uCo/view?usp=drivesdk</t>
  </si>
  <si>
    <t>Document successfully created; Document successfully merged; PDF created; Manually run by admlphuinjkt@gmail.com; Timestamp: Apr 16 2026 10:32 PM</t>
  </si>
  <si>
    <t>118</t>
  </si>
  <si>
    <t>Puri Dewata Indah Blok E2/8 RT 05 RW 01 Poris Plawad, Cipondoh, Kota Tangerang, Banten, Poris Plawad, Cipondoh</t>
  </si>
  <si>
    <t>NADYA AISSYAH MAHARINI</t>
  </si>
  <si>
    <t>11LkAza_A2nLQhj4z6NtpdBIy5da5-n-_</t>
  </si>
  <si>
    <t>https://drive.google.com/file/d/11LkAza_A2nLQhj4z6NtpdBIy5da5-n-_/view?usp=drivesdk</t>
  </si>
  <si>
    <t>120</t>
  </si>
  <si>
    <t>Kp. Cipadang Kalapa RT.01 RW.04 Desa Cikaroya Kec. Warungkondang</t>
  </si>
  <si>
    <t>MARINO PEDULI INDONESIA</t>
  </si>
  <si>
    <t>1xo-UQTKNApWwae4yccHaRN0h9_JdwPNi</t>
  </si>
  <si>
    <t>https://drive.google.com/file/d/1xo-UQTKNApWwae4yccHaRN0h9_JdwPNi/view?usp=drivesdk</t>
  </si>
  <si>
    <t>Document successfully created; Document successfully merged; PDF created; Manually run by admlphuinjkt@gmail.com; Timestamp: Apr 22 2026 5:19 AM</t>
  </si>
  <si>
    <t>122</t>
  </si>
  <si>
    <t>Ruko pecenongan Square Jl.Kaswari Raya Blok S1 B.no.9</t>
  </si>
  <si>
    <t>SOLIHAT FITRIA</t>
  </si>
  <si>
    <t>1iVTJTVgOYn4eC9LvOKhXDp654pKQmk1M</t>
  </si>
  <si>
    <t>https://drive.google.com/file/d/1iVTJTVgOYn4eC9LvOKhXDp654pKQmk1M/view?usp=drivesdk</t>
  </si>
  <si>
    <t>V</t>
  </si>
  <si>
    <t>1 Mei 2026</t>
  </si>
  <si>
    <t>Jl. Mekar Sari RT 01 RW 03, Kel. Bekasi Jaya, Kec. Bekasi Timur, Kota Bekasi, Jawa Barat 17112</t>
  </si>
  <si>
    <t>IQBAL MUBAROK</t>
  </si>
  <si>
    <t>12qh_QxqJmuo3jH6MbijFbhxvigVWhjuq</t>
  </si>
  <si>
    <t>https://drive.google.com/file/d/12qh_QxqJmuo3jH6MbijFbhxvigVWhjuq/view?usp=drivesdk</t>
  </si>
  <si>
    <t>Document successfully created; Document successfully merged; PDF created; Manually run by admlphuinjkt@gmail.com; Timestamp: Apr 29 2026 3:41 AM</t>
  </si>
  <si>
    <t>RUKO JALUR SUTERA TIMUR KAVLING 7 A NO, KELURAHAN KUNCIRAN, KECAMATAN PINANG, KOTA TANGERANG, PROVINSI BANTEN KUNCIRAN PINANG</t>
  </si>
  <si>
    <t>USWATUN KHASANAH</t>
  </si>
  <si>
    <t>1i9IWg58cRAHLh_zQdNHUeve4FdalRyC0</t>
  </si>
  <si>
    <t>https://drive.google.com/file/d/1i9IWg58cRAHLh_zQdNHUeve4FdalRyC0/view?usp=drivesdk</t>
  </si>
  <si>
    <t>Document successfully created; Document successfully merged; PDF created; Manually run by admlphuinjkt@gmail.com; Timestamp: Apr 30 2026 2:33 AM</t>
  </si>
  <si>
    <t>5 Mei 2026</t>
  </si>
  <si>
    <t>JL. KALISARI III SARI INDAH RESIDENCE GANG BUNTU NO 73 PASAR REBO</t>
  </si>
  <si>
    <r>
      <rPr>
        <rFont val="Arial"/>
        <color theme="1"/>
      </rPr>
      <t xml:space="preserve">Trisan Andrean Putra, </t>
    </r>
    <r>
      <rPr>
        <rFont val="Arial"/>
        <color rgb="FF000000"/>
      </rPr>
      <t>S.Si</t>
    </r>
    <r>
      <rPr>
        <rFont val="Arial"/>
        <color theme="1"/>
      </rPr>
      <t>.</t>
    </r>
  </si>
  <si>
    <t>SPPG KALISARI</t>
  </si>
  <si>
    <t>1FZgBxCxj-p6CYsv5ARqnUA1U89KpYD1A</t>
  </si>
  <si>
    <t>https://drive.google.com/file/d/1FZgBxCxj-p6CYsv5ARqnUA1U89KpYD1A/view?usp=drivesdk</t>
  </si>
  <si>
    <t>Document successfully created; Document successfully merged; PDF created; Manually run by admlphuinjkt@gmail.com; Timestamp: May 4 2026 4:26 PM</t>
  </si>
  <si>
    <t>131</t>
  </si>
  <si>
    <t>07 Mei 2026</t>
  </si>
  <si>
    <t>Duta Indah Starhub Blok W-50, Jalan Saluran Irigasi Cisadane Timur Benda, Kota Tangerang</t>
  </si>
  <si>
    <t>PT. ACCELIST PANGAN NUSANTARA</t>
  </si>
  <si>
    <t>1nd1Sls38aAEHY9fzYtCf_KujfC-MNv8C</t>
  </si>
  <si>
    <t>https://drive.google.com/file/d/1nd1Sls38aAEHY9fzYtCf_KujfC-MNv8C/view?usp=drivesdk</t>
  </si>
  <si>
    <t>Document successfully created; Document successfully merged; PDF created; Manually run by admlphuinjkt@gmail.com; Timestamp: May 6 2026 3:15 AM</t>
  </si>
  <si>
    <t>JL. GAGAK NO. 9 RT 01 RW 02 JAMBULUWUK, KEC. CIAWI</t>
  </si>
  <si>
    <t>SPPG BOGOR CIAWI JAMBULUWUK 2</t>
  </si>
  <si>
    <t>1O2VDO6OH6VzmRwmk6GvcnBq3ZvDyFY-k</t>
  </si>
  <si>
    <t>https://drive.google.com/file/d/1O2VDO6OH6VzmRwmk6GvcnBq3ZvDyFY-k/view?usp=drivesdk</t>
  </si>
  <si>
    <t>Document successfully created; Document successfully merged; PDF created; Manually run by admlphuinjkt@gmail.com; Timestamp: May 6 2026 7:02 AM</t>
  </si>
  <si>
    <t>KAMPUNG TUGUJAYA RT 004 RW 011, DESA CITUGU, KECAMATAN CIGOMBONG</t>
  </si>
  <si>
    <t>SPPG BOGOR CIGOMBONG TUGUJAYA</t>
  </si>
  <si>
    <t>1-Bw_4oziQ9ciWw8_M32KF7ZWPMy4Z-03</t>
  </si>
  <si>
    <t>https://drive.google.com/file/d/1-Bw_4oziQ9ciWw8_M32KF7ZWPMy4Z-03/view?usp=drivesdk</t>
  </si>
  <si>
    <t>08 Mei 2026</t>
  </si>
  <si>
    <t>Jl. Cakung Cilincing Raya No. 22, RT.4/RW.3, Kel. Semper Timur Kec. Cilincing, Kota Jakarta Utara, DKI Jakarta, 14130</t>
  </si>
  <si>
    <t>POLI CONTINDO NUSA</t>
  </si>
  <si>
    <t>1FwB-aNee-Jk7cJkCrHiG5TW4R4-zYCQQ</t>
  </si>
  <si>
    <t>https://drive.google.com/file/d/1FwB-aNee-Jk7cJkCrHiG5TW4R4-zYCQQ/view?usp=drivesdk</t>
  </si>
  <si>
    <t>Document successfully created; Document successfully merged; PDF created; Manually run by admlphuinjkt@gmail.com; Timestamp: May 7 2026 3:46 AM</t>
  </si>
  <si>
    <t>Jl. Komplek Polri No. 14, RT 09/RW 08, Ciracas, Jakarta Timur, DKI Jakarta 13740</t>
  </si>
  <si>
    <t>RISALAH RIZKIA WISATA</t>
  </si>
  <si>
    <t>1KnDVFPPRcK4zqBy5yfR3a7UaSbziiunz</t>
  </si>
  <si>
    <t>https://drive.google.com/file/d/1KnDVFPPRcK4zqBy5yfR3a7UaSbziiunz/view?usp=drivesdk</t>
  </si>
  <si>
    <t>Document successfully created; Document successfully merged; PDF created; Manually run by admlphuinjkt@gmail.com; Timestamp: May 7 2026 3:43 AM</t>
  </si>
  <si>
    <t>Nama 1</t>
  </si>
  <si>
    <t>Jabatan 1</t>
  </si>
  <si>
    <t>Nama 2</t>
  </si>
  <si>
    <t>Jabatan 2</t>
  </si>
  <si>
    <t>Nama Pabrik</t>
  </si>
  <si>
    <t>Alamat</t>
  </si>
  <si>
    <t>Produk</t>
  </si>
  <si>
    <t>No Reg</t>
  </si>
  <si>
    <t>Tanggal Surat</t>
  </si>
  <si>
    <t>Merged Doc ID - Surat Tugas 2 org</t>
  </si>
  <si>
    <t>Merged Doc URL - Surat Tugas 2 org</t>
  </si>
  <si>
    <t>Link to merged Doc - Surat Tugas 2 org</t>
  </si>
  <si>
    <t>Document Merge Status - Surat Tugas 2 org</t>
  </si>
  <si>
    <t>001</t>
  </si>
  <si>
    <t>apt. Dzikrilhakim Muhammad, S.Farm.</t>
  </si>
  <si>
    <t>Administrator</t>
  </si>
  <si>
    <t>ABDI BANGSA CIANJUR</t>
  </si>
  <si>
    <t>Penyediaan makanan dan minuman dengan pengolahan</t>
  </si>
  <si>
    <t>SH2025-1-1285774</t>
  </si>
  <si>
    <t>Senin, 05 Januari 2026</t>
  </si>
  <si>
    <t>02 Januari 2026</t>
  </si>
  <si>
    <t>1ZFUcf6p0DgVOsfOM7cW-dM7Iade-xfDW</t>
  </si>
  <si>
    <t>https://drive.google.com/file/d/1ZFUcf6p0DgVOsfOM7cW-dM7Iade-xfDW/view?usp=drivesdk</t>
  </si>
  <si>
    <t>Document successfully created; Document successfully merged; PDF created; Manually run by admlphuinjkt@gmail.com; Timestamp: Jan 6 2026 3:15 AM</t>
  </si>
  <si>
    <t>003</t>
  </si>
  <si>
    <t>Lead Auditor</t>
  </si>
  <si>
    <r>
      <rPr>
        <rFont val="Arial"/>
      </rPr>
      <t xml:space="preserve">Dina Rizky Triani, </t>
    </r>
    <r>
      <rPr>
        <rFont val="Arial"/>
        <color rgb="FF1155CC"/>
        <u/>
      </rPr>
      <t>S.Si</t>
    </r>
    <r>
      <rPr>
        <rFont val="Arial"/>
      </rPr>
      <t>.</t>
    </r>
  </si>
  <si>
    <t>SH2025-1-1285074</t>
  </si>
  <si>
    <t>08 Januari 2026</t>
  </si>
  <si>
    <t>1KMrRNa_ycmsWkJAcCkLu4RZQHPh2pJQt</t>
  </si>
  <si>
    <t>https://drive.google.com/file/d/1KMrRNa_ycmsWkJAcCkLu4RZQHPh2pJQt/view?usp=drivesdk</t>
  </si>
  <si>
    <t>Document successfully created; Document successfully merged; PDF created; Manually run by admlphuinjkt@gmail.com; Timestamp: Jan 11 2026 9:05 PM</t>
  </si>
  <si>
    <t>005</t>
  </si>
  <si>
    <t>HATTORI DEPOK &amp; HATTORI KELAPA GADAING</t>
  </si>
  <si>
    <t>Jl. Margonda Raya No.518 E, RT 004 RW 005, Kel. Pondok Cina, Kec. Beji, Kota Depok, Jawa Barat, 16421
Jl. Raya Kelapa Nias No. 5A Blok QE1 RT 014/RW 006, Kel. Kelapa Gading Barat, Kec. Kelapa Gading, Jakarta Utara, DKI Jakarta</t>
  </si>
  <si>
    <t>SH2025-1-1229627 &amp; SH2025-1-1229611</t>
  </si>
  <si>
    <t>1bNtn-QSUAw5p5SbyWezC8LTmOc8u--_6</t>
  </si>
  <si>
    <t>https://drive.google.com/file/d/1bNtn-QSUAw5p5SbyWezC8LTmOc8u--_6/view?usp=drivesdk</t>
  </si>
  <si>
    <t>Document successfully created; Document successfully merged; PDF created; Manually run by admlphuinjkt@gmail.com; Timestamp: Jan 12 2026 7:34 AM</t>
  </si>
  <si>
    <t>007</t>
  </si>
  <si>
    <t>SPPG JAKSEL MAMPANG PRAPATAN BANGKA 1 &amp; 2</t>
  </si>
  <si>
    <t>SH2025-1-1222209 &amp; SH2025-1-1294564</t>
  </si>
  <si>
    <t>18mbQJ34IgPjyPTYprHIBlBZBK_lIETZZ</t>
  </si>
  <si>
    <t>https://drive.google.com/file/d/18mbQJ34IgPjyPTYprHIBlBZBK_lIETZZ/view?usp=drivesdk</t>
  </si>
  <si>
    <t>Document successfully created; Document successfully merged; PDF created; Manually run by admlphuinjkt@gmail.com; Timestamp: Jan 12 2026 7:54 AM</t>
  </si>
  <si>
    <t>011</t>
  </si>
  <si>
    <t>Soto Tangkar Bu Hj.Tin</t>
  </si>
  <si>
    <t>-</t>
  </si>
  <si>
    <t>09 Januari 2026</t>
  </si>
  <si>
    <t>1Kqn4wUTTgnQk6aBtPcgSb4mTNU2qPqud</t>
  </si>
  <si>
    <t>https://drive.google.com/file/d/1Kqn4wUTTgnQk6aBtPcgSb4mTNU2qPqud/view?usp=drivesdk</t>
  </si>
  <si>
    <t>Document successfully created; Document successfully merged; PDF created; Manually run by admlphuinjkt@gmail.com; Timestamp: Jan 15 2026 4:38 AM</t>
  </si>
  <si>
    <t>013</t>
  </si>
  <si>
    <t>Rumah makan DAPUR LS17</t>
  </si>
  <si>
    <t>1TWSJFmVvGJ0HenweklyZ1UNOsm_k9Rni</t>
  </si>
  <si>
    <t>https://drive.google.com/file/d/1TWSJFmVvGJ0HenweklyZ1UNOsm_k9Rni/view?usp=drivesdk</t>
  </si>
  <si>
    <t>015</t>
  </si>
  <si>
    <r>
      <rPr>
        <rFont val="Arial"/>
      </rPr>
      <t xml:space="preserve">Dina Rizky Triani, </t>
    </r>
    <r>
      <rPr>
        <rFont val="Arial"/>
        <color rgb="FF1155CC"/>
        <u/>
      </rPr>
      <t>S.Si</t>
    </r>
    <r>
      <rPr>
        <rFont val="Arial"/>
      </rPr>
      <t>.</t>
    </r>
  </si>
  <si>
    <t>Warung Aroma &amp; Catering</t>
  </si>
  <si>
    <t>Penyediaan Makanan dan Minuman denga pengolahan</t>
  </si>
  <si>
    <t>SH2025-1-1362728</t>
  </si>
  <si>
    <t>1LMxsC8EoWjmxCCiUfgFW_PnIXV0DhmyG</t>
  </si>
  <si>
    <t>https://drive.google.com/file/d/1LMxsC8EoWjmxCCiUfgFW_PnIXV0DhmyG/view?usp=drivesdk</t>
  </si>
  <si>
    <t>022</t>
  </si>
  <si>
    <t>Serealia dan produk serealia yang merupakan produk turunan dari biji serealia, akar dan umbi, kacang-kacangan dan empulur dengan pengolahan dan penambahan bahan tambahan pangan</t>
  </si>
  <si>
    <t>SH2026-1-1439012</t>
  </si>
  <si>
    <t>19 Januari 2026</t>
  </si>
  <si>
    <t>1Gw2w0uDLVcY_KkSf-MT7rtmYfbCM39iB</t>
  </si>
  <si>
    <t>https://drive.google.com/file/d/1Gw2w0uDLVcY_KkSf-MT7rtmYfbCM39iB/view?usp=drivesdk</t>
  </si>
  <si>
    <t>Document successfully created; Document successfully merged; PDF created; Manually run by admlphuinjkt@gmail.com; Timestamp: Jan 22 2026 11:11 PM</t>
  </si>
  <si>
    <t>025</t>
  </si>
  <si>
    <t>Trisan Andrean Putra</t>
  </si>
  <si>
    <t>Tokyo Skipjack</t>
  </si>
  <si>
    <t>Penyediaan Makanan dan Minuman dengan Pengolahan</t>
  </si>
  <si>
    <t>SH2026-1-1513647</t>
  </si>
  <si>
    <t>1_nVlyuw4mUxVMeG-4OfzB39uU4QW1AvY</t>
  </si>
  <si>
    <t>https://drive.google.com/file/d/1_nVlyuw4mUxVMeG-4OfzB39uU4QW1AvY/view?usp=drivesdk</t>
  </si>
  <si>
    <t>Document successfully created; Document successfully merged; PDF created; Manually run by admlphuinjkt@gmail.com; Timestamp: Jan 26 2026 12:02 AM</t>
  </si>
  <si>
    <t>031</t>
  </si>
  <si>
    <r>
      <rPr>
        <rFont val="Arial"/>
      </rPr>
      <t xml:space="preserve">Dina Rizky Triani, </t>
    </r>
    <r>
      <rPr>
        <rFont val="Arial"/>
        <color rgb="FF1155CC"/>
        <u/>
      </rPr>
      <t>S.Si</t>
    </r>
    <r>
      <rPr>
        <rFont val="Arial"/>
      </rPr>
      <t>.</t>
    </r>
  </si>
  <si>
    <t xml:space="preserve">Ayam Goreng Rempah Murni </t>
  </si>
  <si>
    <t>1fMdn4sTK4TohyLHdThlTMFGs0Vb5ds8C</t>
  </si>
  <si>
    <t>https://drive.google.com/file/d/1fMdn4sTK4TohyLHdThlTMFGs0Vb5ds8C/view?usp=drivesdk</t>
  </si>
  <si>
    <t>Document successfully created; Document successfully merged; PDF created; Manually run by admlphuinjkt@gmail.com; Timestamp: Jan 26 2026 10:32 AM</t>
  </si>
  <si>
    <t>033</t>
  </si>
  <si>
    <r>
      <rPr>
        <rFont val="Arial"/>
      </rPr>
      <t xml:space="preserve">Dina Rizky Triani, </t>
    </r>
    <r>
      <rPr>
        <rFont val="Arial"/>
        <color rgb="FF1155CC"/>
        <u/>
      </rPr>
      <t>S.Si</t>
    </r>
    <r>
      <rPr>
        <rFont val="Arial"/>
      </rPr>
      <t>.</t>
    </r>
  </si>
  <si>
    <t>Bakso Huhahuha</t>
  </si>
  <si>
    <t xml:space="preserve">Olahan Daging </t>
  </si>
  <si>
    <t>1h6Wf4fgvQ0i7LON41MNaOGA6aiPjJWea</t>
  </si>
  <si>
    <t>https://drive.google.com/file/d/1h6Wf4fgvQ0i7LON41MNaOGA6aiPjJWea/view?usp=drivesdk</t>
  </si>
  <si>
    <t>035</t>
  </si>
  <si>
    <t>Jl. Raya Centex gg. Swadaya IV, Kel.Ciracas, Kec. Ciracas, Jakarta Timur</t>
  </si>
  <si>
    <t>Es untuk dimakan (edible ice) termasuk sherbet dan sorbetk</t>
  </si>
  <si>
    <t>SH2026-1-1500614</t>
  </si>
  <si>
    <t>26 Januari 2026</t>
  </si>
  <si>
    <t>1W1s0UGYXGyDGaF15VWoVQPUthx0P6BQV</t>
  </si>
  <si>
    <t>https://drive.google.com/file/d/1W1s0UGYXGyDGaF15VWoVQPUthx0P6BQV/view?usp=drivesdk</t>
  </si>
  <si>
    <t>037</t>
  </si>
  <si>
    <t>WARUNG PENYET CAK CHOLIL</t>
  </si>
  <si>
    <t>SH2026-1-1496657</t>
  </si>
  <si>
    <t>3 Februari 2026</t>
  </si>
  <si>
    <t>1tqg56ZGG39ZZ1K_seOhHNdssuFT5sqFO</t>
  </si>
  <si>
    <t>https://drive.google.com/file/d/1tqg56ZGG39ZZ1K_seOhHNdssuFT5sqFO/view?usp=drivesdk</t>
  </si>
  <si>
    <t>Document successfully created; Document successfully merged; PDF created; Manually run by admlphuinjkt@gmail.com; Timestamp: Feb 13 2026 7:38 AM</t>
  </si>
  <si>
    <t>046</t>
  </si>
  <si>
    <t>AYAM TUA BERKAT</t>
  </si>
  <si>
    <t>SH2026-1-1657788</t>
  </si>
  <si>
    <t>1cuY62xbd05v1qjU5qJlsZc-wLoImc0Jz</t>
  </si>
  <si>
    <t>https://drive.google.com/file/d/1cuY62xbd05v1qjU5qJlsZc-wLoImc0Jz/view?usp=drivesdk</t>
  </si>
  <si>
    <t>Document successfully created; Document successfully merged; PDF created; Manually run by admlphuinjkt@gmail.com; Timestamp: Feb 13 2026 7:39 AM</t>
  </si>
  <si>
    <t>048</t>
  </si>
  <si>
    <t>Daging Ayam Sehati Bersama Abadi</t>
  </si>
  <si>
    <t>Daging dan Produk Olahan Daging</t>
  </si>
  <si>
    <t>SH2026-1-1679468</t>
  </si>
  <si>
    <t>18 Februari 2026</t>
  </si>
  <si>
    <t>1apABu_A74AjS3lKScd-aYtCfUjm3j51y</t>
  </si>
  <si>
    <t>https://drive.google.com/file/d/1apABu_A74AjS3lKScd-aYtCfUjm3j51y/view?usp=drivesdk</t>
  </si>
  <si>
    <t>Document successfully created; Document successfully merged; PDF created; Manually run by admlphuinjkt@gmail.com; Timestamp: Feb 18 2026 3:40 AM</t>
  </si>
  <si>
    <r>
      <rPr>
        <rFont val="Arial"/>
      </rPr>
      <t xml:space="preserve">Afifah Rizki Aulia, </t>
    </r>
    <r>
      <rPr>
        <rFont val="Arial"/>
        <color rgb="FF1155CC"/>
        <u/>
      </rPr>
      <t>S.Si</t>
    </r>
  </si>
  <si>
    <t>Jalan Percetakan Negara II No.25 Johar Baru</t>
  </si>
  <si>
    <t>Jasa pendistribusian</t>
  </si>
  <si>
    <t>SH2026-1-1697603</t>
  </si>
  <si>
    <t>13 Febuari 2026</t>
  </si>
  <si>
    <t>1ntoA4I2mDzS7tyMzD9MhIymH0Xq69Pov</t>
  </si>
  <si>
    <t>https://drive.google.com/file/d/1ntoA4I2mDzS7tyMzD9MhIymH0Xq69Pov/view?usp=drivesdk</t>
  </si>
  <si>
    <t>Document successfully created; Document successfully merged; PDF created; Manually run by admlphuinjkt@gmail.com; Timestamp: Feb 18 2026 7:36 PM</t>
  </si>
  <si>
    <t>057</t>
  </si>
  <si>
    <t xml:space="preserve">Gazebo Dapur Ummi Rumah Makan &amp; Catering </t>
  </si>
  <si>
    <t>SH2024-1-517842</t>
  </si>
  <si>
    <t>Kamis, 26 Februari 2026</t>
  </si>
  <si>
    <t>24 Februari 2026</t>
  </si>
  <si>
    <t>1rtdKBUNsQUKibA16zk5O_Ut7DlohGl7B</t>
  </si>
  <si>
    <t>https://drive.google.com/file/d/1rtdKBUNsQUKibA16zk5O_Ut7DlohGl7B/view?usp=drivesdk</t>
  </si>
  <si>
    <t>Document successfully created; Document successfully merged; PDF created; Manually run by admlphuinjkt@gmail.com; Timestamp: Feb 25 2026 12:38 AM</t>
  </si>
  <si>
    <t>059</t>
  </si>
  <si>
    <r>
      <rPr>
        <rFont val="Arial"/>
      </rPr>
      <t xml:space="preserve">Dina Rizky Triani, </t>
    </r>
    <r>
      <rPr>
        <rFont val="Arial"/>
        <color rgb="FF1155CC"/>
        <u/>
      </rPr>
      <t>S.Si</t>
    </r>
    <r>
      <rPr>
        <rFont val="Arial"/>
      </rPr>
      <t>.</t>
    </r>
  </si>
  <si>
    <t>SPPG Kalisari 03</t>
  </si>
  <si>
    <t>SH2026-1-1411350</t>
  </si>
  <si>
    <t>1brv1g9w9bC7R3g97LRUH3I64-4Td2XNQ</t>
  </si>
  <si>
    <t>https://drive.google.com/file/d/1brv1g9w9bC7R3g97LRUH3I64-4Td2XNQ/view?usp=drivesdk</t>
  </si>
  <si>
    <t>060</t>
  </si>
  <si>
    <t>Trisan Andrean Putra, S.Si.</t>
  </si>
  <si>
    <t>Bahan penyusun barang gunaan</t>
  </si>
  <si>
    <t>SH2026-1-1733835</t>
  </si>
  <si>
    <t>Jumat, 27 Februari 2026</t>
  </si>
  <si>
    <t>1jSsKlR0Xl2invbrA-F_r-mkOTOnvZXOo</t>
  </si>
  <si>
    <t>https://drive.google.com/file/d/1jSsKlR0Xl2invbrA-F_r-mkOTOnvZXOo/view?usp=drivesdk</t>
  </si>
  <si>
    <t>062</t>
  </si>
  <si>
    <t>SH2026-1-1755759</t>
  </si>
  <si>
    <t>Selasa, 4 Maret 2026</t>
  </si>
  <si>
    <t>1dvcw7ENpZSluWvl6hWYb6nXymVQrk9k_</t>
  </si>
  <si>
    <t>https://drive.google.com/file/d/1dvcw7ENpZSluWvl6hWYb6nXymVQrk9k_/view?usp=drivesdk</t>
  </si>
  <si>
    <t>Document successfully created; Document successfully merged; PDF created; Manually run by admlphuinjkt@gmail.com; Timestamp: Mar 1 2026 11:58 PM</t>
  </si>
  <si>
    <t>069</t>
  </si>
  <si>
    <t>Rabu, 11 Maret 2026</t>
  </si>
  <si>
    <t>08 Maret 2026</t>
  </si>
  <si>
    <t>1xgrkTgC24OAUygRRYwrzXwdPNolmXJvP</t>
  </si>
  <si>
    <t>https://drive.google.com/file/d/1xgrkTgC24OAUygRRYwrzXwdPNolmXJvP/view?usp=drivesdk</t>
  </si>
  <si>
    <t>Document successfully created; Document successfully merged; PDF created; Manually run by admlphuinjkt@gmail.com; Timestamp: Mar 8 2026 6:35 PM</t>
  </si>
  <si>
    <t>071</t>
  </si>
  <si>
    <t>Bahan tambahan Pangan</t>
  </si>
  <si>
    <t>SH2026-1-1719857</t>
  </si>
  <si>
    <t>Kamis, 12 Maret 2026</t>
  </si>
  <si>
    <t>1izJ1BU1Dkr4UeuWXPxWKmC3UtbYUxbp0</t>
  </si>
  <si>
    <t>https://drive.google.com/file/d/1izJ1BU1Dkr4UeuWXPxWKmC3UtbYUxbp0/view?usp=drivesdk</t>
  </si>
  <si>
    <t>073</t>
  </si>
  <si>
    <t>apt. Mabrurotul Mustafidah</t>
  </si>
  <si>
    <t>Minuman dengan Pengolahan</t>
  </si>
  <si>
    <t>SH2026-1-1815979</t>
  </si>
  <si>
    <t>Senin, 09 Maret 2026</t>
  </si>
  <si>
    <t>1ggGLHcaS2A7u16t6yF92mEIp8ek0kbF8</t>
  </si>
  <si>
    <t>https://drive.google.com/file/d/1ggGLHcaS2A7u16t6yF92mEIp8ek0kbF8/view?usp=drivesdk</t>
  </si>
  <si>
    <t>082</t>
  </si>
  <si>
    <r>
      <rPr>
        <rFont val="Arial"/>
      </rPr>
      <t xml:space="preserve">Dina Rizky Triani, </t>
    </r>
    <r>
      <rPr>
        <rFont val="Arial"/>
        <color rgb="FF1155CC"/>
        <u/>
      </rPr>
      <t>S.Si</t>
    </r>
    <r>
      <rPr>
        <rFont val="Arial"/>
      </rPr>
      <t>.</t>
    </r>
  </si>
  <si>
    <t>SH2026-1-1897446</t>
  </si>
  <si>
    <t>Jumat, 03 April 2025</t>
  </si>
  <si>
    <t>Kamis, 02 April 2026</t>
  </si>
  <si>
    <t>1V-MxWOHVr-dNz7D7T12TNEtJzdiLZ-Aq</t>
  </si>
  <si>
    <t>https://drive.google.com/file/d/1V-MxWOHVr-dNz7D7T12TNEtJzdiLZ-Aq/view?usp=drivesdk</t>
  </si>
  <si>
    <t>Document successfully created; Document successfully merged; PDF created; Manually run by admlphuinjkt@gmail.com; Timestamp: Apr 2 2026 10:42 AM</t>
  </si>
  <si>
    <t>084</t>
  </si>
  <si>
    <r>
      <rPr>
        <rFont val="Arial"/>
      </rPr>
      <t xml:space="preserve">Dina Rizky Triani, </t>
    </r>
    <r>
      <rPr>
        <rFont val="Arial"/>
        <color rgb="FF1155CC"/>
        <u/>
      </rPr>
      <t>S.Si</t>
    </r>
    <r>
      <rPr>
        <rFont val="Arial"/>
      </rPr>
      <t>.</t>
    </r>
  </si>
  <si>
    <t>SH2026-1-2003608</t>
  </si>
  <si>
    <t>Senin, 06 April 2026</t>
  </si>
  <si>
    <t>1gMrYPoaSTewYybryTOoa0emrV7bO5k8S</t>
  </si>
  <si>
    <t>https://drive.google.com/file/d/1gMrYPoaSTewYybryTOoa0emrV7bO5k8S/view?usp=drivesdk</t>
  </si>
  <si>
    <t>087</t>
  </si>
  <si>
    <t>Daging dan produk olahan daging</t>
  </si>
  <si>
    <t>SH2026-1-1921288</t>
  </si>
  <si>
    <t>Selasa, 07 April 2026</t>
  </si>
  <si>
    <t>1lcDn10j7oxAF0sqrLtMRV2AcRtWDu016</t>
  </si>
  <si>
    <t>https://drive.google.com/file/d/1lcDn10j7oxAF0sqrLtMRV2AcRtWDu016/view?usp=drivesdk</t>
  </si>
  <si>
    <t>Document successfully created; Document successfully merged; PDF created; Manually run by admlphuinjkt@gmail.com; Timestamp: Apr 14 2026 11:28 PM</t>
  </si>
  <si>
    <t>089</t>
  </si>
  <si>
    <t>Dina Rizky Triani, S.Si.</t>
  </si>
  <si>
    <t>Makanan ringan siap santap</t>
  </si>
  <si>
    <t>Kamis, 16 April 2026</t>
  </si>
  <si>
    <t>1rBn_GBMUSq8wUaTDEKPOKarTrCb5KqAr</t>
  </si>
  <si>
    <t>https://drive.google.com/file/d/1rBn_GBMUSq8wUaTDEKPOKarTrCb5KqAr/view?usp=drivesdk</t>
  </si>
  <si>
    <t>097</t>
  </si>
  <si>
    <t>SARI RASA PRIMA</t>
  </si>
  <si>
    <t>Makanan dan minuman dengan pengolahan</t>
  </si>
  <si>
    <t>1PD0RsprAbCyFNvlAvT9ZTMqx9YXGHHLG</t>
  </si>
  <si>
    <t>https://drive.google.com/file/d/1PD0RsprAbCyFNvlAvT9ZTMqx9YXGHHLG/view?usp=drivesdk</t>
  </si>
  <si>
    <t>113</t>
  </si>
  <si>
    <r>
      <rPr>
        <rFont val="Arial"/>
        <color theme="1"/>
      </rPr>
      <t xml:space="preserve">Trisan Andrean Putra, </t>
    </r>
    <r>
      <rPr>
        <rFont val="Arial"/>
        <color rgb="FF000000"/>
      </rPr>
      <t>S.Si</t>
    </r>
    <r>
      <rPr>
        <rFont val="Arial"/>
        <color theme="1"/>
      </rPr>
      <t>.</t>
    </r>
  </si>
  <si>
    <t>SH2026-1-2017256</t>
  </si>
  <si>
    <t>Jumat, 17 April 2026</t>
  </si>
  <si>
    <t>10wgDLTyS14LEer9FLtk2UyWq7YnMTV99</t>
  </si>
  <si>
    <t>https://drive.google.com/file/d/10wgDLTyS14LEer9FLtk2UyWq7YnMTV99/view?usp=drivesdk</t>
  </si>
  <si>
    <t>Document successfully created; Document successfully merged; PDF created; Manually run by admlphuinjkt@gmail.com; Timestamp: Apr 16 2026 6:26 AM</t>
  </si>
  <si>
    <t>108</t>
  </si>
  <si>
    <r>
      <rPr>
        <rFont val="Arial"/>
      </rPr>
      <t xml:space="preserve">Afifah Rizki Aulia, </t>
    </r>
    <r>
      <rPr>
        <rFont val="Arial"/>
        <color rgb="FF1155CC"/>
        <u/>
      </rPr>
      <t>S.Si</t>
    </r>
  </si>
  <si>
    <t>Ir. Daniel I.M.S</t>
  </si>
  <si>
    <t>SH2026-1-2016345</t>
  </si>
  <si>
    <t>1YRISNc1j50SCuipERdrnK5c_grcyvUem</t>
  </si>
  <si>
    <t>https://drive.google.com/file/d/1YRISNc1j50SCuipERdrnK5c_grcyvUem/view?usp=drivesdk</t>
  </si>
  <si>
    <t>Document successfully created; Document successfully merged; PDF created; Manually run by admlphuinjkt@gmail.com; Timestamp: Apr 16 2026 10:34 AM</t>
  </si>
  <si>
    <t>117</t>
  </si>
  <si>
    <t>HATTORI - POINS</t>
  </si>
  <si>
    <t>RAINBOW SPRINGS CONDOVILLAS BLOK G 15/G 005Pagedangan</t>
  </si>
  <si>
    <t>SH2026-1-2070152</t>
  </si>
  <si>
    <t>Senin, 20 April 2026</t>
  </si>
  <si>
    <t>1owVfY5CUFBG1mnTHCD_L0qidMURXa8Wy</t>
  </si>
  <si>
    <t>https://drive.google.com/file/d/1owVfY5CUFBG1mnTHCD_L0qidMURXa8Wy/view?usp=drivesdk</t>
  </si>
  <si>
    <t>Document successfully created; Document successfully merged; PDF created; Manually run by admlphuinjkt@gmail.com; Timestamp: Apr 16 2026 10:22 PM</t>
  </si>
  <si>
    <t>119</t>
  </si>
  <si>
    <t>CITRA RASA</t>
  </si>
  <si>
    <t>PURI DEWATA INDAH BLOK E2/8 RT 05 RW 01 PORIS PLAWAD, CIPONDOH, KOTA TANGERANG, BANTEN, RT/RW -, PORIS PLAWAD, CIPONDOH</t>
  </si>
  <si>
    <t>SH2026-1-2112050</t>
  </si>
  <si>
    <t>1-XnsIZOZYjGPnLcB_NZhGwGDcm5vOk6b</t>
  </si>
  <si>
    <t>https://drive.google.com/file/d/1-XnsIZOZYjGPnLcB_NZhGwGDcm5vOk6b/view?usp=drivesdk</t>
  </si>
  <si>
    <t>Document successfully created; Document successfully merged; PDF created; Manually run by admlphuinjkt@gmail.com; Timestamp: Apr 16 2026 10:23 PM</t>
  </si>
  <si>
    <t>apt. Mabrurotul Mustafidah, M.Pharm.Sci</t>
  </si>
  <si>
    <t>UNLOCKED BBQ Bekasi</t>
  </si>
  <si>
    <t>SH2026-1-2109676</t>
  </si>
  <si>
    <t>Jumat. 01 Mei 2026</t>
  </si>
  <si>
    <t>1ljVuD47LDYM1Y9zK4ov5WM_yaJ8aXUiO</t>
  </si>
  <si>
    <t>https://drive.google.com/file/d/1ljVuD47LDYM1Y9zK4ov5WM_yaJ8aXUiO/view?usp=drivesdk</t>
  </si>
  <si>
    <t>SH2026-1-2145000</t>
  </si>
  <si>
    <t>Jumat, 01 Mei 2026</t>
  </si>
  <si>
    <t>1CY9VQvi3gbms8pLrO9i8JM9YQS0w1EEM</t>
  </si>
  <si>
    <t>https://drive.google.com/file/d/1CY9VQvi3gbms8pLrO9i8JM9YQS0w1EEM/view?usp=drivesdk</t>
  </si>
  <si>
    <t>Document successfully created; Document successfully merged; PDF created; Manually run by admlphuinjkt@gmail.com; Timestamp: Apr 30 2026 2:39 AM</t>
  </si>
  <si>
    <r>
      <rPr>
        <rFont val="Arial"/>
        <color theme="1"/>
      </rPr>
      <t xml:space="preserve">Trisan Andrean Putra, </t>
    </r>
    <r>
      <rPr>
        <rFont val="Arial"/>
        <color rgb="FF000000"/>
      </rPr>
      <t>S.Si</t>
    </r>
    <r>
      <rPr>
        <rFont val="Arial"/>
        <color theme="1"/>
      </rPr>
      <t>.</t>
    </r>
  </si>
  <si>
    <t>ANTASENA BANGUN BERSAMA</t>
  </si>
  <si>
    <t>SH2026-1-2208667</t>
  </si>
  <si>
    <t>Kamis, 07 Mei 2026</t>
  </si>
  <si>
    <t>05 Mei 2026</t>
  </si>
  <si>
    <t>1PUfFMMc9mzkMGyppCQjpCBrRutj7h70w</t>
  </si>
  <si>
    <t>https://drive.google.com/file/d/1PUfFMMc9mzkMGyppCQjpCBrRutj7h70w/view?usp=drivesdk</t>
  </si>
  <si>
    <t>Document successfully created; Document successfully merged; PDF created; Manually run by admlphuinjkt@gmail.com; Timestamp: May 6 2026 7:14 AM</t>
  </si>
  <si>
    <r>
      <rPr>
        <rFont val="Arial"/>
        <color theme="1"/>
      </rPr>
      <t xml:space="preserve">Trisan Andrean Putra, </t>
    </r>
    <r>
      <rPr>
        <rFont val="Arial"/>
        <color rgb="FF000000"/>
      </rPr>
      <t>S.Si</t>
    </r>
    <r>
      <rPr>
        <rFont val="Arial"/>
        <color theme="1"/>
      </rPr>
      <t>.</t>
    </r>
  </si>
  <si>
    <t>SH2026-1-2208678</t>
  </si>
  <si>
    <t>1Yso3T6VnJ8Gldp2PLqwMvmJxGdWpsnsb</t>
  </si>
  <si>
    <t>https://drive.google.com/file/d/1Yso3T6VnJ8Gldp2PLqwMvmJxGdWpsnsb/view?usp=drivesdk</t>
  </si>
  <si>
    <t>Document successfully created; Document successfully merged; PDF created; Manually run by admlphuinjkt@gmail.com; Timestamp: May 6 2026 7:15 AM</t>
  </si>
  <si>
    <r>
      <rPr>
        <rFont val="Arial"/>
        <color theme="1"/>
      </rPr>
      <t xml:space="preserve">Trisan Andrean Putra, </t>
    </r>
    <r>
      <rPr>
        <rFont val="Arial"/>
        <color rgb="FF000000"/>
      </rPr>
      <t>S.Si</t>
    </r>
    <r>
      <rPr>
        <rFont val="Arial"/>
        <color theme="1"/>
      </rPr>
      <t>.</t>
    </r>
  </si>
  <si>
    <t>DELTA EXACT CENDEKIA</t>
  </si>
  <si>
    <t>SPPG SUKABUMI CIRACAP CIKANGKUNG 2</t>
  </si>
  <si>
    <t>KAMPUNG HEGAR MANAH RT 001 RW 008, DS. CIKANGKUNG, KEC. CIRACAP</t>
  </si>
  <si>
    <t>Senin, 11 Mei 2026</t>
  </si>
  <si>
    <t>1SFSEPrvupnTHlqU2CPw_XAVYiyX2E0os</t>
  </si>
  <si>
    <t>https://drive.google.com/file/d/1SFSEPrvupnTHlqU2CPw_XAVYiyX2E0os/view?usp=drivesdk</t>
  </si>
  <si>
    <t>Document successfully created; Document successfully merged; PDF created; Manually run by admlphuinjkt@gmail.com; Timestamp: May 6 2026 8:28 PM</t>
  </si>
  <si>
    <r>
      <rPr>
        <rFont val="Arial"/>
        <color theme="1"/>
      </rPr>
      <t xml:space="preserve">Trisan Andrean Putra, </t>
    </r>
    <r>
      <rPr>
        <rFont val="Arial"/>
        <color rgb="FF000000"/>
      </rPr>
      <t>S.Si</t>
    </r>
    <r>
      <rPr>
        <rFont val="Arial"/>
        <color theme="1"/>
      </rPr>
      <t>.</t>
    </r>
  </si>
  <si>
    <t>RIANG RIANG GEMBIRA</t>
  </si>
  <si>
    <t>SPPG SUKABUMI PALABUHANRATU CITEPUS 6</t>
  </si>
  <si>
    <t>KAMPUNG JAJAWAY RT 003 RW 016, DS. CITEPUS, KEC. PALABUHANRATU</t>
  </si>
  <si>
    <t>SH2026-1-2208689</t>
  </si>
  <si>
    <t>1eCLenSR1kHkSCQL1t6RrPHq3WtlAy39A</t>
  </si>
  <si>
    <t>https://drive.google.com/file/d/1eCLenSR1kHkSCQL1t6RrPHq3WtlAy39A/view?usp=drivesdk</t>
  </si>
  <si>
    <t>Document successfully created; Document successfully merged; PDF created; Manually run by admlphuinjkt@gmail.com; Timestamp: May 6 2026 8:37 PM</t>
  </si>
  <si>
    <t>Nama Auditor1</t>
  </si>
  <si>
    <t>Jabatan1</t>
  </si>
  <si>
    <t>Nama Auditor2</t>
  </si>
  <si>
    <t>Jabatan2</t>
  </si>
  <si>
    <t>Nama Auditor3</t>
  </si>
  <si>
    <t>Jabatan3</t>
  </si>
  <si>
    <t>Merged Doc ID - Surat Tugas 3 Orang</t>
  </si>
  <si>
    <t>Merged Doc URL - Surat Tugas 3 Orang</t>
  </si>
  <si>
    <t>Link to merged Doc - Surat Tugas 3 Orang</t>
  </si>
  <si>
    <t>Document Merge Status - Surat Tugas 3 Orang</t>
  </si>
  <si>
    <t>009</t>
  </si>
  <si>
    <r>
      <rPr>
        <rFont val="Arial"/>
      </rPr>
      <t xml:space="preserve">Dina Rizky Triani, </t>
    </r>
    <r>
      <rPr>
        <rFont val="Arial"/>
        <color rgb="FF1155CC"/>
        <u/>
      </rPr>
      <t>S.Si</t>
    </r>
    <r>
      <rPr>
        <rFont val="Arial"/>
      </rPr>
      <t>.</t>
    </r>
  </si>
  <si>
    <t>Fadhlika Putri Vihanda, S. Farm.</t>
  </si>
  <si>
    <t>Observer</t>
  </si>
  <si>
    <t>Garam, rempah, sup, saus, salad, serta produk protein</t>
  </si>
  <si>
    <t>SH2026-1-1422456</t>
  </si>
  <si>
    <t>Senin, 14 Januari 2026</t>
  </si>
  <si>
    <t>11 Januari 2026</t>
  </si>
  <si>
    <t>1tIG-wsbl0QSmtwtmiXtpgwtUpgB8VGh-</t>
  </si>
  <si>
    <t>https://drive.google.com/file/d/1tIG-wsbl0QSmtwtmiXtpgwtUpgB8VGh-/view?usp=drivesdk</t>
  </si>
  <si>
    <t>Document successfully created; Document successfully merged; PDF created; Manually run by admlphuinjkt@gmail.com; Timestamp: Jan 13 2026 9:21 AM</t>
  </si>
  <si>
    <t>043</t>
  </si>
  <si>
    <t>Mabrurotul Mustafidah M.Pharm.Sci.</t>
  </si>
  <si>
    <t>12 Februari 2026</t>
  </si>
  <si>
    <t>1ZH4zfp9D087YYsXX0wkToPRsJgRy-Ie4</t>
  </si>
  <si>
    <t>https://drive.google.com/file/d/1ZH4zfp9D087YYsXX0wkToPRsJgRy-Ie4/view?usp=drivesdk</t>
  </si>
  <si>
    <t>Document successfully created; Document successfully merged; PDF created; Manually run by admlphuinjkt@gmail.com; Timestamp: Mar 5 2026 12:21 AM</t>
  </si>
  <si>
    <t>065</t>
  </si>
  <si>
    <r>
      <rPr>
        <rFont val="Arial"/>
      </rPr>
      <t xml:space="preserve">Nahla Qurrotu'ain, </t>
    </r>
    <r>
      <rPr>
        <rFont val="Arial"/>
        <color rgb="FF1155CC"/>
        <u/>
      </rPr>
      <t>S.Si</t>
    </r>
    <r>
      <rPr>
        <rFont val="Arial"/>
      </rPr>
      <t>.</t>
    </r>
  </si>
  <si>
    <t>Yulyani Nur Azizah, M.Si.</t>
  </si>
  <si>
    <t>Kemasan produk</t>
  </si>
  <si>
    <t>SH2026-1-1730125</t>
  </si>
  <si>
    <t>Jum'at, 06 Maret 2026</t>
  </si>
  <si>
    <t>02 Maret 2026</t>
  </si>
  <si>
    <t>1XurTf5Di8kCM7QhkVBz5ySa_nlaxJVDx</t>
  </si>
  <si>
    <t>https://drive.google.com/file/d/1XurTf5Di8kCM7QhkVBz5ySa_nlaxJVDx/view?usp=drivesdk</t>
  </si>
  <si>
    <t>067</t>
  </si>
  <si>
    <t>Dr. drh. Raden Rara Bhintarti Suryohastari M.Biomed</t>
  </si>
  <si>
    <t>RUMAH POTONG AYAM WARAS</t>
  </si>
  <si>
    <t>SH2026-1-1708817</t>
  </si>
  <si>
    <t>05 Maret 2026</t>
  </si>
  <si>
    <t>1U0OSKXA14No5S-e1GxCraXqOW-RwK8iX</t>
  </si>
  <si>
    <t>https://drive.google.com/file/d/1U0OSKXA14No5S-e1GxCraXqOW-RwK8iX/view?usp=drivesdk</t>
  </si>
  <si>
    <t>Document successfully created; Document successfully merged; PDF created; Manually run by admlphuinjkt@gmail.com; Timestamp: Mar 8 2026 6:37 PM</t>
  </si>
  <si>
    <t>077</t>
  </si>
  <si>
    <r>
      <rPr>
        <rFont val="Arial"/>
      </rPr>
      <t xml:space="preserve">Nahla Qurrotu'ain, </t>
    </r>
    <r>
      <rPr>
        <rFont val="Arial"/>
        <color rgb="FF1155CC"/>
        <u/>
      </rPr>
      <t>S.Si</t>
    </r>
    <r>
      <rPr>
        <rFont val="Arial"/>
      </rPr>
      <t>.</t>
    </r>
  </si>
  <si>
    <t>SH2026-1-1807913</t>
  </si>
  <si>
    <t>Jum'at, 13 Maret 2026</t>
  </si>
  <si>
    <t>10 Maret 2026</t>
  </si>
  <si>
    <t>1JeNKkEXwSPr8VmxPkNiaSjrBV3---V7b</t>
  </si>
  <si>
    <t>https://drive.google.com/file/d/1JeNKkEXwSPr8VmxPkNiaSjrBV3---V7b/view?usp=drivesdk</t>
  </si>
  <si>
    <t>Document successfully created; Document successfully merged; PDF created; Manually run by admlphuinjkt@gmail.com; Timestamp: Mar 12 2026 12:07 PM</t>
  </si>
  <si>
    <t>079</t>
  </si>
  <si>
    <r>
      <rPr>
        <rFont val="Arial"/>
      </rPr>
      <t xml:space="preserve">Nahla Qurrotu'ain, </t>
    </r>
    <r>
      <rPr>
        <rFont val="Arial"/>
        <color rgb="FF1155CC"/>
        <u/>
      </rPr>
      <t>S.Si</t>
    </r>
    <r>
      <rPr>
        <rFont val="Arial"/>
      </rPr>
      <t>.</t>
    </r>
  </si>
  <si>
    <t>Jasa Penyimpanan</t>
  </si>
  <si>
    <t>SH2026-1-1807703</t>
  </si>
  <si>
    <t>1mtZThnwb1xCGjx4LmFXyeMedJBXRqP7A</t>
  </si>
  <si>
    <t>https://drive.google.com/file/d/1mtZThnwb1xCGjx4LmFXyeMedJBXRqP7A/view?usp=drivesdk</t>
  </si>
  <si>
    <t>Document successfully created; Document successfully merged; PDF created; Manually run by admlphuinjkt@gmail.com; Timestamp: Mar 12 2026 5:11 PM</t>
  </si>
  <si>
    <t>093</t>
  </si>
  <si>
    <t xml:space="preserve">IV </t>
  </si>
  <si>
    <t>Hendri Aldrat S.Si.,M.Si</t>
  </si>
  <si>
    <t>NASI GORENG PADANG  BUNDO KANDUANG</t>
  </si>
  <si>
    <t>SH2025-1-1292339</t>
  </si>
  <si>
    <t>12-mkhELBm4eXASWh2N32zNH2EH6p4-br</t>
  </si>
  <si>
    <t>https://drive.google.com/file/d/12-mkhELBm4eXASWh2N32zNH2EH6p4-br/view?usp=drivesdk</t>
  </si>
  <si>
    <t>Document successfully created; Document successfully merged; PDF created; Manually run by admlphuinjkt@gmail.com; Timestamp: Apr 15 2026 1:51 AM</t>
  </si>
  <si>
    <t>095</t>
  </si>
  <si>
    <t>1iX1VgrLe_AYib39-hSkkFMaTmWT1OaRn</t>
  </si>
  <si>
    <t>https://drive.google.com/file/d/1iX1VgrLe_AYib39-hSkkFMaTmWT1OaRn/view?usp=drivesdk</t>
  </si>
  <si>
    <t>091</t>
  </si>
  <si>
    <r>
      <rPr>
        <rFont val="Arial"/>
      </rPr>
      <t xml:space="preserve">Dina Rizky Triani, </t>
    </r>
    <r>
      <rPr>
        <rFont val="Arial"/>
        <color rgb="FF1155CC"/>
        <u/>
      </rPr>
      <t>S.Si</t>
    </r>
    <r>
      <rPr>
        <rFont val="Arial"/>
      </rPr>
      <t>.</t>
    </r>
  </si>
  <si>
    <t>Apt. Suci Ahda Novitri, M.Farm</t>
  </si>
  <si>
    <t>ANJUMUZ ZUHRIYAH</t>
  </si>
  <si>
    <t>1UV4xpDqsyQLuTyZNLaXjDVn80nhUlKwB</t>
  </si>
  <si>
    <t>https://drive.google.com/file/d/1UV4xpDqsyQLuTyZNLaXjDVn80nhUlKwB/view?usp=drivesdk</t>
  </si>
  <si>
    <t>098</t>
  </si>
  <si>
    <r>
      <rPr>
        <rFont val="Arial"/>
        <color theme="1"/>
      </rPr>
      <t xml:space="preserve">Trisan Andrean Putra, </t>
    </r>
    <r>
      <rPr>
        <rFont val="Arial"/>
        <color rgb="FF000000"/>
      </rPr>
      <t>S.Si</t>
    </r>
    <r>
      <rPr>
        <rFont val="Arial"/>
        <color theme="1"/>
      </rPr>
      <t>.</t>
    </r>
  </si>
  <si>
    <r>
      <rPr>
        <rFont val="Arial"/>
        <color theme="1"/>
      </rPr>
      <t xml:space="preserve">Dr. Narti Fitriana, </t>
    </r>
    <r>
      <rPr>
        <rFont val="Arial"/>
        <color rgb="FF000000"/>
      </rPr>
      <t>M.Si</t>
    </r>
    <r>
      <rPr>
        <rFont val="Arial"/>
        <color theme="1"/>
      </rPr>
      <t>.</t>
    </r>
  </si>
  <si>
    <t>SH2026-1-2043499</t>
  </si>
  <si>
    <t>1xPa7EC47KKbp_a7TNYNh91n_ujrkWeeW</t>
  </si>
  <si>
    <t>https://drive.google.com/file/d/1xPa7EC47KKbp_a7TNYNh91n_ujrkWeeW/view?usp=drivesdk</t>
  </si>
  <si>
    <t>Document successfully created; Document successfully merged; PDF created; Manually run by admlphuinjkt@gmail.com; Timestamp: Apr 15 2026 1:52 AM</t>
  </si>
  <si>
    <t>099</t>
  </si>
  <si>
    <r>
      <rPr>
        <rFont val="Arial"/>
        <color theme="1"/>
      </rPr>
      <t xml:space="preserve">Trisan Andrean Putra, </t>
    </r>
    <r>
      <rPr>
        <rFont val="Arial"/>
        <color rgb="FF000000"/>
      </rPr>
      <t>S.Si</t>
    </r>
    <r>
      <rPr>
        <rFont val="Arial"/>
        <color theme="1"/>
      </rPr>
      <t>.</t>
    </r>
  </si>
  <si>
    <r>
      <rPr>
        <rFont val="Arial"/>
        <color theme="1"/>
      </rPr>
      <t xml:space="preserve">Dr. Narti Fitriana, </t>
    </r>
    <r>
      <rPr>
        <rFont val="Arial"/>
        <color rgb="FF000000"/>
      </rPr>
      <t>M.Si</t>
    </r>
    <r>
      <rPr>
        <rFont val="Arial"/>
        <color theme="1"/>
      </rPr>
      <t>.</t>
    </r>
  </si>
  <si>
    <t>SH2026-1-1860101</t>
  </si>
  <si>
    <t>1_ma1Pg4lO9GZ218bIHr0h4G_IfnbDZ3D</t>
  </si>
  <si>
    <t>https://drive.google.com/file/d/1_ma1Pg4lO9GZ218bIHr0h4G_IfnbDZ3D/view?usp=drivesdk</t>
  </si>
  <si>
    <t>apt. Mabrurotul Mustafidah M.Pharm.Sci.</t>
  </si>
  <si>
    <t>Nurhasni, M.Si.</t>
  </si>
  <si>
    <t>SPPG Rawa Kalong 02</t>
  </si>
  <si>
    <t>Jl. Bungur Indah NO.31, Desa/Kelurahan Rawakalong, Kec. Gunung Sindur, Kab. Bogor, Provinsi Jawa Barat,</t>
  </si>
  <si>
    <t>SH2026-1-1816256</t>
  </si>
  <si>
    <t>Jum'at, 17 April 2026</t>
  </si>
  <si>
    <t>1dtrcsbUdkm-ISmiBOTAnLPPvridriERZ</t>
  </si>
  <si>
    <t>https://drive.google.com/file/d/1dtrcsbUdkm-ISmiBOTAnLPPvridriERZ/view?usp=drivesdk</t>
  </si>
  <si>
    <t>Document successfully created; Document successfully merged; PDF created; Manually run by admlphuinjkt@gmail.com; Timestamp: Apr 15 2026 9:27 PM</t>
  </si>
  <si>
    <t>Dapoer Taby</t>
  </si>
  <si>
    <t>Daging dan Produk Olahan Daging dan Aneka Makanan</t>
  </si>
  <si>
    <t>SH2026-1-1987835</t>
  </si>
  <si>
    <t>1QEGVL8Y9eLRkalEDR9mLMU2or-8gLqIm</t>
  </si>
  <si>
    <t>https://drive.google.com/file/d/1QEGVL8Y9eLRkalEDR9mLMU2or-8gLqIm/view?usp=drivesdk</t>
  </si>
  <si>
    <r>
      <rPr>
        <rFont val="Arial"/>
      </rPr>
      <t xml:space="preserve">Afifah Rizki Aulia, </t>
    </r>
    <r>
      <rPr>
        <rFont val="Arial"/>
        <color rgb="FF1155CC"/>
        <u/>
      </rPr>
      <t>S.Si.</t>
    </r>
  </si>
  <si>
    <t>Dr. Nani Radiastuti, M.Si.</t>
  </si>
  <si>
    <t>Rizky Kurniaty Husni Dimsum Won</t>
  </si>
  <si>
    <t>Dimsum Won</t>
  </si>
  <si>
    <t>JL ATMAJA NO.95, Desa/Kelurahan Bakti Jaya, Kec.Setu, Kota Tangerang Selatan, Provinsi Banten</t>
  </si>
  <si>
    <t>Olahan Daging/Hasil Perikanan</t>
  </si>
  <si>
    <t>17lNbHnevJvbNOQg9ypabWghSsrAXltNK</t>
  </si>
  <si>
    <t>https://drive.google.com/file/d/17lNbHnevJvbNOQg9ypabWghSsrAXltNK/view?usp=drivesdk</t>
  </si>
  <si>
    <t>121</t>
  </si>
  <si>
    <t>SPPG Cikaroya</t>
  </si>
  <si>
    <t>SH2026-1-1978766</t>
  </si>
  <si>
    <t>Kamis, 23 April 2026</t>
  </si>
  <si>
    <t>10Fg7efGfItOkV142fsz84su1m7--vMXG</t>
  </si>
  <si>
    <t>https://drive.google.com/file/d/10Fg7efGfItOkV142fsz84su1m7--vMXG/view?usp=drivesdk</t>
  </si>
  <si>
    <t>Document successfully created; Document successfully merged; PDF created; Manually run by admlphuinjkt@gmail.com; Timestamp: Apr 22 2026 5:23 AM</t>
  </si>
  <si>
    <t>123</t>
  </si>
  <si>
    <t>Dr. Isalmi Aziz, MT</t>
  </si>
  <si>
    <t>KAVAEL COFFE</t>
  </si>
  <si>
    <t>SH2026-1-2077100</t>
  </si>
  <si>
    <t>Jum'at, 24 April 2026</t>
  </si>
  <si>
    <t>13Dcz5yOTVFzNIAJ3ewlN0mVmjtqYDHHi</t>
  </si>
  <si>
    <t>https://drive.google.com/file/d/13Dcz5yOTVFzNIAJ3ewlN0mVmjtqYDHHi/view?usp=drivesdk</t>
  </si>
  <si>
    <t>Document successfully created; Document successfully merged; PDF created; Manually run by admlphuinjkt@gmail.com; Timestamp: Apr 22 2026 5:24 AM</t>
  </si>
  <si>
    <t>Widya Kartika Laksmawati, S.P., M.Sc.</t>
  </si>
  <si>
    <t>SH2026-1-2209444</t>
  </si>
  <si>
    <t>Selasa, 5 Mei 2026</t>
  </si>
  <si>
    <t>1u2VKVqzYs2vJECj78XqUE3aaQ7S9pdpt</t>
  </si>
  <si>
    <t>https://drive.google.com/file/d/1u2VKVqzYs2vJECj78XqUE3aaQ7S9pdpt/view?usp=drivesdk</t>
  </si>
  <si>
    <t>Document successfully created; Document successfully merged; PDF created; Manually run by admlphuinjkt@gmail.com; Timestamp: May 4 2026 9:39 PM</t>
  </si>
  <si>
    <r>
      <rPr>
        <rFont val="Arial"/>
      </rPr>
      <t xml:space="preserve">Nahla Qurrotu'ain, </t>
    </r>
    <r>
      <rPr>
        <rFont val="Arial"/>
        <color rgb="FF1155CC"/>
        <u/>
      </rPr>
      <t>S.Si</t>
    </r>
    <r>
      <rPr>
        <rFont val="Arial"/>
      </rPr>
      <t>.</t>
    </r>
  </si>
  <si>
    <t>SH2026-1-2044794</t>
  </si>
  <si>
    <t>Jum'at, 08 Mei 2026</t>
  </si>
  <si>
    <t>04 Mei 2026</t>
  </si>
  <si>
    <t>1BgSREWJswpl-QAcmZo8T1SJWEGrpQ1XS</t>
  </si>
  <si>
    <t>https://drive.google.com/file/d/1BgSREWJswpl-QAcmZo8T1SJWEGrpQ1XS/view?usp=drivesdk</t>
  </si>
  <si>
    <t>Document successfully created; Document successfully merged; PDF created; Manually run by admlphuinjkt@gmail.com; Timestamp: May 7 2026 3:41 AM</t>
  </si>
  <si>
    <t>UMI RISALAH CATERING</t>
  </si>
  <si>
    <t>Penyedia Makanan dan minuman dengan pengolahan</t>
  </si>
  <si>
    <t>SH2026-1-2201635</t>
  </si>
  <si>
    <t>1EbD6x7KNTLVkSQplNCeduP1d7t5lMvAV</t>
  </si>
  <si>
    <t>https://drive.google.com/file/d/1EbD6x7KNTLVkSQplNCeduP1d7t5lMvAV/view?usp=drivesdk</t>
  </si>
  <si>
    <t>Nama Auditor4</t>
  </si>
  <si>
    <t>Jabatan4</t>
  </si>
  <si>
    <t>Merged Doc ID - Surat Tugas 4 Orang</t>
  </si>
  <si>
    <t>Merged Doc URL - Surat Tugas 4 Orang</t>
  </si>
  <si>
    <t>Link to merged Doc - Surat Tugas 4 Orang</t>
  </si>
  <si>
    <t>Document Merge Status - Surat Tugas 4 Orang</t>
  </si>
  <si>
    <t>NAMA PU</t>
  </si>
  <si>
    <t>HARI TANGGAL</t>
  </si>
  <si>
    <t>NO DAFTAR</t>
  </si>
  <si>
    <t>AUDITOR1</t>
  </si>
  <si>
    <t>AUDITOR2</t>
  </si>
  <si>
    <t>Merged Doc ID - Berkas Audit 2 orang</t>
  </si>
  <si>
    <t>Merged Doc URL - Berkas Audit 2 orang</t>
  </si>
  <si>
    <t>Link to merged Doc - Berkas Audit 2 orang</t>
  </si>
  <si>
    <t>Document Merge Status - Berkas Audit 2 orang</t>
  </si>
  <si>
    <r>
      <rPr>
        <rFont val="Arial"/>
        <color theme="1"/>
      </rPr>
      <t xml:space="preserve">Dr. Sandra Hermanto, </t>
    </r>
    <r>
      <rPr>
        <rFont val="Arial"/>
        <color rgb="FF000000"/>
      </rPr>
      <t>M.Si</t>
    </r>
    <r>
      <rPr>
        <rFont val="Arial"/>
        <color theme="1"/>
      </rPr>
      <t>.</t>
    </r>
  </si>
  <si>
    <t>1j5LwuXeROVkpnrpWFdYPCRivmqkJwetz</t>
  </si>
  <si>
    <t>https://drive.google.com/file/d/1j5LwuXeROVkpnrpWFdYPCRivmqkJwetz/view?usp=drivesdk</t>
  </si>
  <si>
    <t>Document successfully created; Document successfully merged; PDF created; Manually run by admlphuinjkt@gmail.com; Timestamp: Jan 6 2026 3:21 AM</t>
  </si>
  <si>
    <t xml:space="preserve">Ayam Goreng Happy </t>
  </si>
  <si>
    <r>
      <rPr/>
      <t xml:space="preserve">Dr. Adi Riyadhi, </t>
    </r>
    <r>
      <rPr>
        <color rgb="FF1155CC"/>
        <u/>
      </rPr>
      <t>M.Si</t>
    </r>
    <r>
      <rPr/>
      <t xml:space="preserve">. </t>
    </r>
  </si>
  <si>
    <t xml:space="preserve">Dina Rizky Triani, S.Si. </t>
  </si>
  <si>
    <t>1bB1ZtCSVddqIBOEknGXtibn2fkIbEizi</t>
  </si>
  <si>
    <t>https://drive.google.com/file/d/1bB1ZtCSVddqIBOEknGXtibn2fkIbEizi/view?usp=drivesdk</t>
  </si>
  <si>
    <t>Document successfully created; Document successfully merged; PDF created; Manually run by admlphuinjkt@gmail.com; Timestamp: Jan 11 2026 9:07 PM</t>
  </si>
  <si>
    <t>WILLIEM - HATTORI</t>
  </si>
  <si>
    <t>1auCtTjUXtI4YNYmy18OhwV3QIV6GoT1u</t>
  </si>
  <si>
    <t>https://drive.google.com/file/d/1auCtTjUXtI4YNYmy18OhwV3QIV6GoT1u/view?usp=drivesdk</t>
  </si>
  <si>
    <t>Document successfully created; Document successfully merged; PDF created; Manually run by admlphuinjkt@gmail.com; Timestamp: Jan 12 2026 7:47 AM</t>
  </si>
  <si>
    <t>HJ MARDIAH DAN HJ CHALIMAH - SPPG JAKSEL MAMPANG PRAPATAN BANGKA 1 &amp; 2</t>
  </si>
  <si>
    <t>1xUqQ0shLMdrrd4mgCMF_Nr5HGlSuCM1M</t>
  </si>
  <si>
    <t>https://drive.google.com/file/d/1xUqQ0shLMdrrd4mgCMF_Nr5HGlSuCM1M/view?usp=drivesdk</t>
  </si>
  <si>
    <t>Document successfully created; Document successfully merged; PDF created; Manually run by admlphuinjkt@gmail.com; Timestamp: Jan 12 2026 8:26 AM</t>
  </si>
  <si>
    <r>
      <rPr>
        <rFont val="Arial"/>
        <color theme="1"/>
      </rPr>
      <t xml:space="preserve">Dr. Sandra Hermanto, </t>
    </r>
    <r>
      <rPr>
        <rFont val="Arial"/>
        <color rgb="FF000000"/>
      </rPr>
      <t>M.Si</t>
    </r>
    <r>
      <rPr>
        <rFont val="Arial"/>
        <color theme="1"/>
      </rPr>
      <t>.</t>
    </r>
  </si>
  <si>
    <t>1V46lkaevxowm7i383cQEaXb5pvpn6CGI</t>
  </si>
  <si>
    <t>https://drive.google.com/file/d/1V46lkaevxowm7i383cQEaXb5pvpn6CGI/view?usp=drivesdk</t>
  </si>
  <si>
    <t>Document successfully created; Document successfully merged; PDF created; Manually run by admlphuinjkt@gmail.com; Timestamp: Jan 15 2026 4:35 AM</t>
  </si>
  <si>
    <r>
      <rPr>
        <rFont val="Arial"/>
        <color theme="1"/>
      </rPr>
      <t xml:space="preserve">Dr. Sandra Hermanto, </t>
    </r>
    <r>
      <rPr>
        <rFont val="Arial"/>
        <color rgb="FF000000"/>
      </rPr>
      <t>M.Si</t>
    </r>
    <r>
      <rPr>
        <rFont val="Arial"/>
        <color theme="1"/>
      </rPr>
      <t>.</t>
    </r>
  </si>
  <si>
    <t>1eAL6qGcUmFCr7a40zbs4HIo7dgTVMGVf</t>
  </si>
  <si>
    <t>https://drive.google.com/file/d/1eAL6qGcUmFCr7a40zbs4HIo7dgTVMGVf/view?usp=drivesdk</t>
  </si>
  <si>
    <r>
      <rPr>
        <rFont val="Arial"/>
        <color theme="1"/>
      </rPr>
      <t xml:space="preserve">Dr. Sandra Hermanto, </t>
    </r>
    <r>
      <rPr>
        <rFont val="Arial"/>
        <color rgb="FF000000"/>
      </rPr>
      <t>M.Si</t>
    </r>
    <r>
      <rPr>
        <rFont val="Arial"/>
        <color theme="1"/>
      </rPr>
      <t>.</t>
    </r>
  </si>
  <si>
    <t>1vCg7IjM4j-VtLnxNAw1iw9ps7XtcpFye</t>
  </si>
  <si>
    <t>https://drive.google.com/file/d/1vCg7IjM4j-VtLnxNAw1iw9ps7XtcpFye/view?usp=drivesdk</t>
  </si>
  <si>
    <t>Document successfully created; Document successfully merged; PDF created; Manually run by admlphuinjkt@gmail.com; Timestamp: Jan 15 2026 4:39 AM</t>
  </si>
  <si>
    <t>1EmV2uID1kM-urv4tHJkDQDTgMr_SFOA8</t>
  </si>
  <si>
    <t>https://drive.google.com/file/d/1EmV2uID1kM-urv4tHJkDQDTgMr_SFOA8/view?usp=drivesdk</t>
  </si>
  <si>
    <t>Document successfully created; Document successfully merged; PDF created; Manually run by admlphuinjkt@gmail.com; Timestamp: Jan 22 2026 11:15 PM</t>
  </si>
  <si>
    <r>
      <rPr>
        <rFont val="Arial"/>
        <color theme="1"/>
      </rPr>
      <t xml:space="preserve">Trisan Andrean Putra, </t>
    </r>
    <r>
      <rPr>
        <rFont val="Arial"/>
        <color rgb="FF000000"/>
      </rPr>
      <t>S.Si</t>
    </r>
    <r>
      <rPr>
        <rFont val="Arial"/>
        <color theme="1"/>
      </rPr>
      <t>.</t>
    </r>
  </si>
  <si>
    <t>1lBgpgn_7rfhaAZ8R-Chl-xCX2JUFJJpA</t>
  </si>
  <si>
    <t>https://drive.google.com/file/d/1lBgpgn_7rfhaAZ8R-Chl-xCX2JUFJJpA/view?usp=drivesdk</t>
  </si>
  <si>
    <t>Document successfully created; Document successfully merged; PDF created; Manually run by admlphuinjkt@gmail.com; Timestamp: Jan 26 2026 12:12 AM</t>
  </si>
  <si>
    <t>1CaN36IWi0YumxZCgUaeuLhXNldd7zqTr</t>
  </si>
  <si>
    <t>https://drive.google.com/file/d/1CaN36IWi0YumxZCgUaeuLhXNldd7zqTr/view?usp=drivesdk</t>
  </si>
  <si>
    <t>Document successfully created; Document successfully merged; PDF created; Manually run by admlphuinjkt@gmail.com; Timestamp: Jan 26 2026 10:33 AM</t>
  </si>
  <si>
    <t>1EJ9d3xUBpV6Pe27m7mLEkegOfeXLKQwQ</t>
  </si>
  <si>
    <t>https://drive.google.com/file/d/1EJ9d3xUBpV6Pe27m7mLEkegOfeXLKQwQ/view?usp=drivesdk</t>
  </si>
  <si>
    <t>1nMoZWaJNl321J7t_P5hfLfAe7V58PrKG</t>
  </si>
  <si>
    <t>https://drive.google.com/file/d/1nMoZWaJNl321J7t_P5hfLfAe7V58PrKG/view?usp=drivesdk</t>
  </si>
  <si>
    <t>1_T6BlQMNzeu3tg6Ba3Ep_jjv3pBl-yuA</t>
  </si>
  <si>
    <t>https://drive.google.com/file/d/1_T6BlQMNzeu3tg6Ba3Ep_jjv3pBl-yuA/view?usp=drivesdk</t>
  </si>
  <si>
    <t>Document successfully created; Document successfully merged; PDF created; Manually run by admlphuinjkt@gmail.com; Timestamp: Feb 13 2026 7:44 AM</t>
  </si>
  <si>
    <r>
      <rPr>
        <rFont val="Arial"/>
        <color theme="1"/>
      </rPr>
      <t xml:space="preserve">Dr. Sandra Hermanto, </t>
    </r>
    <r>
      <rPr>
        <rFont val="Arial"/>
        <color rgb="FF000000"/>
      </rPr>
      <t>M.Si</t>
    </r>
    <r>
      <rPr>
        <rFont val="Arial"/>
        <color theme="1"/>
      </rPr>
      <t>.</t>
    </r>
  </si>
  <si>
    <t>1Ndmr1jG1KR-hNUvR4kTOT3hwjPvwTpNB</t>
  </si>
  <si>
    <t>https://drive.google.com/file/d/1Ndmr1jG1KR-hNUvR4kTOT3hwjPvwTpNB/view?usp=drivesdk</t>
  </si>
  <si>
    <r>
      <rPr>
        <rFont val="Arial"/>
        <color theme="1"/>
      </rPr>
      <t xml:space="preserve">Dr. Sandra Hermanto, </t>
    </r>
    <r>
      <rPr>
        <rFont val="Arial"/>
        <color rgb="FF000000"/>
      </rPr>
      <t>M.Si</t>
    </r>
    <r>
      <rPr>
        <rFont val="Arial"/>
        <color theme="1"/>
      </rPr>
      <t>.</t>
    </r>
  </si>
  <si>
    <t>1ZJiKy3Mj7kVlaoH3jcCiei8gj_Km3PNB</t>
  </si>
  <si>
    <t>https://drive.google.com/file/d/1ZJiKy3Mj7kVlaoH3jcCiei8gj_Km3PNB/view?usp=drivesdk</t>
  </si>
  <si>
    <t xml:space="preserve">Afifah Rizki Aulia, S.Si. </t>
  </si>
  <si>
    <t>15wPMAgHby5rfcww2JYpRJxsMid9gx0C2</t>
  </si>
  <si>
    <t>https://drive.google.com/file/d/15wPMAgHby5rfcww2JYpRJxsMid9gx0C2/view?usp=drivesdk</t>
  </si>
  <si>
    <t>Document successfully created; Document successfully merged; PDF created; Manually run by admlphuinjkt@gmail.com; Timestamp: Feb 18 2026 7:37 PM</t>
  </si>
  <si>
    <t>1MFKUcLnJ6Y0TZCzfOBcXfyj5LcwZYQXm</t>
  </si>
  <si>
    <t>https://drive.google.com/file/d/1MFKUcLnJ6Y0TZCzfOBcXfyj5LcwZYQXm/view?usp=drivesdk</t>
  </si>
  <si>
    <t>Document successfully created; Document successfully merged; PDF created; Manually run by admlphuinjkt@gmail.com; Timestamp: Feb 25 2026 12:39 AM</t>
  </si>
  <si>
    <t>1oOnyGXeXoXKrNIuqHafEmSSaZKkRzgUS</t>
  </si>
  <si>
    <t>https://drive.google.com/file/d/1oOnyGXeXoXKrNIuqHafEmSSaZKkRzgUS/view?usp=drivesdk</t>
  </si>
  <si>
    <r>
      <rPr>
        <rFont val="Arial"/>
        <color theme="1"/>
      </rPr>
      <t xml:space="preserve">Trisan Andrean Putra, </t>
    </r>
    <r>
      <rPr>
        <rFont val="Arial"/>
        <color rgb="FF000000"/>
      </rPr>
      <t>S.Si</t>
    </r>
    <r>
      <rPr>
        <rFont val="Arial"/>
        <color theme="1"/>
      </rPr>
      <t>.</t>
    </r>
  </si>
  <si>
    <t>1qCEcxHEGYRBa6IvBXWDkPXsAr3EMQvjr</t>
  </si>
  <si>
    <t>https://drive.google.com/file/d/1qCEcxHEGYRBa6IvBXWDkPXsAr3EMQvjr/view?usp=drivesdk</t>
  </si>
  <si>
    <t>Document successfully created; Document successfully merged; PDF created; Manually run by admlphuinjkt@gmail.com; Timestamp: Feb 26 2026 6:45 PM</t>
  </si>
  <si>
    <t>15drJ3dkCokENTm4fY0MXFGNtoWorE7zj</t>
  </si>
  <si>
    <t>https://drive.google.com/file/d/15drJ3dkCokENTm4fY0MXFGNtoWorE7zj/view?usp=drivesdk</t>
  </si>
  <si>
    <t>Document successfully created; Document successfully merged; PDF created; Manually run by admlphuinjkt@gmail.com; Timestamp: Mar 2 2026 6:57 PM</t>
  </si>
  <si>
    <t>Jumat, 02 April 2026</t>
  </si>
  <si>
    <t>1IJBD_FYzRlZr81TocaFiWwTsJihchpVM</t>
  </si>
  <si>
    <t>https://drive.google.com/file/d/1IJBD_FYzRlZr81TocaFiWwTsJihchpVM/view?usp=drivesdk</t>
  </si>
  <si>
    <t>Document successfully created; Document successfully merged; PDF created; Manually run by admlphuinjkt@gmail.com; Timestamp: Apr 2 2026 10:47 AM</t>
  </si>
  <si>
    <t xml:space="preserve">MINYAK URAPAN ANGGUR </t>
  </si>
  <si>
    <t>1s6oqYjTr9YmSWqFLaFz-bdlxW3d0JvI8</t>
  </si>
  <si>
    <t>https://drive.google.com/file/d/1s6oqYjTr9YmSWqFLaFz-bdlxW3d0JvI8/view?usp=drivesdk</t>
  </si>
  <si>
    <t>Document successfully created; Document successfully merged; PDF created; Manually run by admlphuinjkt@gmail.com; Timestamp: Apr 2 2026 10:58 AM</t>
  </si>
  <si>
    <t>Sabtu, 04 April 2026</t>
  </si>
  <si>
    <t>1VX7qYoM7G-SmR4HkT95_x6k-X7VDu4Zn</t>
  </si>
  <si>
    <t>https://drive.google.com/file/d/1VX7qYoM7G-SmR4HkT95_x6k-X7VDu4Zn/view?usp=drivesdk</t>
  </si>
  <si>
    <t>Document successfully created; Document successfully merged; PDF created; Manually run by admlphuinjkt@gmail.com; Timestamp: Apr 16 2026 5:59 AM</t>
  </si>
  <si>
    <t>1rsWc6-SA91V2ObuNbBCLzDowzuCXOxVU</t>
  </si>
  <si>
    <t>https://drive.google.com/file/d/1rsWc6-SA91V2ObuNbBCLzDowzuCXOxVU/view?usp=drivesdk</t>
  </si>
  <si>
    <t>1BVXE5Xd6nXomiVhYsc2Ym59NPfrJHxLd</t>
  </si>
  <si>
    <t>https://drive.google.com/file/d/1BVXE5Xd6nXomiVhYsc2Ym59NPfrJHxLd/view?usp=drivesdk</t>
  </si>
  <si>
    <t>Document successfully created; Document successfully merged; PDF created; Manually run by admlphuinjkt@gmail.com; Timestamp: Apr 16 2026 10:34 PM</t>
  </si>
  <si>
    <t>1FCv0VeAzQUfsRoradFch0G3_mNczJmf8</t>
  </si>
  <si>
    <t>https://drive.google.com/file/d/1FCv0VeAzQUfsRoradFch0G3_mNczJmf8/view?usp=drivesdk</t>
  </si>
  <si>
    <r>
      <rPr>
        <rFont val="Arial"/>
      </rPr>
      <t xml:space="preserve">Afifah Rizki Aulia, </t>
    </r>
    <r>
      <rPr>
        <rFont val="Arial"/>
        <color rgb="FF1155CC"/>
        <u/>
      </rPr>
      <t>S.Si</t>
    </r>
  </si>
  <si>
    <t>1X1F-JF25tctAIF6_nSq0bPPSQrtHKjBn</t>
  </si>
  <si>
    <t>https://drive.google.com/file/d/1X1F-JF25tctAIF6_nSq0bPPSQrtHKjBn/view?usp=drivesdk</t>
  </si>
  <si>
    <t>Document successfully created; Document successfully merged; PDF created; Manually run by admlphuinjkt@gmail.com; Timestamp: Apr 16 2026 10:36 PM</t>
  </si>
  <si>
    <t>Kamis, 07 April 2026</t>
  </si>
  <si>
    <t>1RI9vCEtx2NaVJCTO41rgl7WBU8g1op82</t>
  </si>
  <si>
    <t>https://drive.google.com/file/d/1RI9vCEtx2NaVJCTO41rgl7WBU8g1op82/view?usp=drivesdk</t>
  </si>
  <si>
    <t>Document successfully created; Document successfully merged; PDF created; Manually run by admlphuinjkt@gmail.com; Timestamp: May 6 2026 7:08 AM</t>
  </si>
  <si>
    <t>1x7PLMPdvXL4B077WtEcxu0AIGE7xO8Fh</t>
  </si>
  <si>
    <t>https://drive.google.com/file/d/1x7PLMPdvXL4B077WtEcxu0AIGE7xO8Fh/view?usp=drivesdk</t>
  </si>
  <si>
    <t>Mabrurotul Mustafidah</t>
  </si>
  <si>
    <t>autocratn</t>
  </si>
  <si>
    <t>autocratp</t>
  </si>
  <si>
    <t>dataSheetName</t>
  </si>
  <si>
    <t>"SPK"</t>
  </si>
  <si>
    <t>v</t>
  </si>
  <si>
    <t>"5.1"</t>
  </si>
  <si>
    <t>dataSheetId</t>
  </si>
  <si>
    <t>"1.219496042E9"</t>
  </si>
  <si>
    <t>updateTime</t>
  </si>
  <si>
    <t>"1.778158917792E12"</t>
  </si>
  <si>
    <t>vp</t>
  </si>
  <si>
    <t>ssId</t>
  </si>
  <si>
    <t>"1RcLMcHj_WBGbUgJfgrC5gWdHmtrCnErQx9WjKVYwg68"</t>
  </si>
  <si>
    <t>AUDITOR3</t>
  </si>
  <si>
    <t>Merged Doc ID - Berkas Audit 3 orang</t>
  </si>
  <si>
    <t>Merged Doc URL - Berkas Audit 3 orang</t>
  </si>
  <si>
    <t>Link to merged Doc - Berkas Audit 3 orang</t>
  </si>
  <si>
    <t>Document Merge Status - Berkas Audit 3 orang</t>
  </si>
  <si>
    <r>
      <rPr>
        <rFont val="Arial"/>
      </rPr>
      <t xml:space="preserve">Dina Rizky Triani, </t>
    </r>
    <r>
      <rPr>
        <rFont val="Arial"/>
        <color rgb="FF1155CC"/>
        <u/>
      </rPr>
      <t>S.Si</t>
    </r>
    <r>
      <rPr>
        <rFont val="Arial"/>
      </rPr>
      <t>.</t>
    </r>
  </si>
  <si>
    <t>1Ns2Io2LXtkRhbreQzhKXCFo6Sbu2QNix</t>
  </si>
  <si>
    <t>https://drive.google.com/file/d/1Ns2Io2LXtkRhbreQzhKXCFo6Sbu2QNix/view?usp=drivesdk</t>
  </si>
  <si>
    <t>Document successfully created; Document successfully merged; PDF created; Manually run by admlphuinjkt@gmail.com; Timestamp: Jan 13 2026 9:23 AM</t>
  </si>
  <si>
    <t>Jum'at, 13 Februari 2026</t>
  </si>
  <si>
    <t>1M15opThALBjGSP7aOoxmrfprV9sweQvE</t>
  </si>
  <si>
    <t>https://drive.google.com/file/d/1M15opThALBjGSP7aOoxmrfprV9sweQvE/view?usp=drivesdk</t>
  </si>
  <si>
    <t>Document successfully created; Document successfully merged; PDF created; Manually run by admlphuinjkt@gmail.com; Timestamp: Mar 5 2026 12:26 AM</t>
  </si>
  <si>
    <t>1DbA28cALOIZ-bAO_A6mB-1hG14isKOSd</t>
  </si>
  <si>
    <t>https://drive.google.com/file/d/1DbA28cALOIZ-bAO_A6mB-1hG14isKOSd/view?usp=drivesdk</t>
  </si>
  <si>
    <t>Document successfully created; Document successfully merged; PDF created; Manually run by admlphuinjkt@gmail.com; Timestamp: Mar 5 2026 12:27 AM</t>
  </si>
  <si>
    <t>1O88X1SQXiVVq0wndXN1XqF3HNGxBcUGh</t>
  </si>
  <si>
    <t>https://drive.google.com/file/d/1O88X1SQXiVVq0wndXN1XqF3HNGxBcUGh/view?usp=drivesdk</t>
  </si>
  <si>
    <t>Document successfully created; Document successfully merged; PDF created; Manually run by admlphuinjkt@gmail.com; Timestamp: Mar 12 2026 12:02 PM</t>
  </si>
  <si>
    <r>
      <rPr>
        <rFont val="Arial"/>
      </rPr>
      <t xml:space="preserve">Nahla Qurrotu'ain, </t>
    </r>
    <r>
      <rPr>
        <rFont val="Arial"/>
        <color rgb="FF1155CC"/>
        <u/>
      </rPr>
      <t>S.Si</t>
    </r>
    <r>
      <rPr>
        <rFont val="Arial"/>
      </rPr>
      <t>.</t>
    </r>
  </si>
  <si>
    <t>1p74Qu0LOd8AE3lvZnlZiQNAgHKV9HL6r</t>
  </si>
  <si>
    <t>https://drive.google.com/file/d/1p74Qu0LOd8AE3lvZnlZiQNAgHKV9HL6r/view?usp=drivesdk</t>
  </si>
  <si>
    <t>Document successfully created; Document successfully merged; PDF created; Manually run by admlphuinjkt@gmail.com; Timestamp: Mar 12 2026 12:09 PM</t>
  </si>
  <si>
    <r>
      <rPr>
        <rFont val="Arial"/>
      </rPr>
      <t xml:space="preserve">Nahla Qurrotu'ain, </t>
    </r>
    <r>
      <rPr>
        <rFont val="Arial"/>
        <color rgb="FF1155CC"/>
        <u/>
      </rPr>
      <t>S.Si</t>
    </r>
    <r>
      <rPr>
        <rFont val="Arial"/>
      </rPr>
      <t>.</t>
    </r>
  </si>
  <si>
    <t>1QtJlX4eJDzBeF_C5ewdnIva3fAC0V4OS</t>
  </si>
  <si>
    <t>https://drive.google.com/file/d/1QtJlX4eJDzBeF_C5ewdnIva3fAC0V4OS/view?usp=drivesdk</t>
  </si>
  <si>
    <t>Document successfully created; Document successfully merged; PDF created; Manually run by admlphuinjkt@gmail.com; Timestamp: Mar 12 2026 5:38 PM</t>
  </si>
  <si>
    <t>Kamis, 16 Maret 2026</t>
  </si>
  <si>
    <t>1il9aeZ1fp8h2dbq9aqKpXTQEc7YKB6WA</t>
  </si>
  <si>
    <t>https://drive.google.com/file/d/1il9aeZ1fp8h2dbq9aqKpXTQEc7YKB6WA/view?usp=drivesdk</t>
  </si>
  <si>
    <t>16d8nDarn3n9AZxpeghXWGJN9wYvgqgVV</t>
  </si>
  <si>
    <t>https://drive.google.com/file/d/16d8nDarn3n9AZxpeghXWGJN9wYvgqgVV/view?usp=drivesdk</t>
  </si>
  <si>
    <r>
      <rPr>
        <rFont val="Arial"/>
        <color theme="1"/>
      </rPr>
      <t xml:space="preserve">Trisan Andrean Putra, </t>
    </r>
    <r>
      <rPr>
        <rFont val="Arial"/>
        <color rgb="FF000000"/>
      </rPr>
      <t>S.Si</t>
    </r>
    <r>
      <rPr>
        <rFont val="Arial"/>
        <color theme="1"/>
      </rPr>
      <t>.</t>
    </r>
  </si>
  <si>
    <t>Narti Fitriana, M.Si.</t>
  </si>
  <si>
    <t>1p23nSB1cRaO_vYfqryCPJJo2ZDgt5P-a</t>
  </si>
  <si>
    <t>https://drive.google.com/file/d/1p23nSB1cRaO_vYfqryCPJJo2ZDgt5P-a/view?usp=drivesdk</t>
  </si>
  <si>
    <r>
      <rPr>
        <rFont val="Arial"/>
        <color theme="1"/>
      </rPr>
      <t xml:space="preserve">Trisan Andrean Putra, </t>
    </r>
    <r>
      <rPr>
        <rFont val="Arial"/>
        <color rgb="FF000000"/>
      </rPr>
      <t>S.Si</t>
    </r>
    <r>
      <rPr>
        <rFont val="Arial"/>
        <color theme="1"/>
      </rPr>
      <t>.</t>
    </r>
  </si>
  <si>
    <t>1oxdRT4WF0-ovYEmqYZYJkDsPHu_9zf0v</t>
  </si>
  <si>
    <t>https://drive.google.com/file/d/1oxdRT4WF0-ovYEmqYZYJkDsPHu_9zf0v/view?usp=drivesdk</t>
  </si>
  <si>
    <t>Document successfully created; Document successfully merged; PDF created; Manually run by admlphuinjkt@gmail.com; Timestamp: Apr 15 2026 1:53 AM</t>
  </si>
  <si>
    <r>
      <rPr>
        <rFont val="Arial"/>
      </rPr>
      <t xml:space="preserve">Nahla Qurrotu'ain, </t>
    </r>
    <r>
      <rPr>
        <rFont val="Arial"/>
        <color rgb="FF1155CC"/>
        <u/>
      </rPr>
      <t>S.Si</t>
    </r>
    <r>
      <rPr>
        <rFont val="Arial"/>
      </rPr>
      <t>.</t>
    </r>
  </si>
  <si>
    <t>1aUb4b7TOQL0NIO3IYHs204MWccA0oabH</t>
  </si>
  <si>
    <t>https://drive.google.com/file/d/1aUb4b7TOQL0NIO3IYHs204MWccA0oabH/view?usp=drivesdk</t>
  </si>
  <si>
    <t>Document successfully created; Document successfully merged; PDF created; Manually run by admlphuinjkt@gmail.com; Timestamp: Apr 16 2026 10:43 PM</t>
  </si>
  <si>
    <r>
      <rPr>
        <rFont val="Arial"/>
      </rPr>
      <t xml:space="preserve">Nahla Qurrotu'ain, </t>
    </r>
    <r>
      <rPr>
        <rFont val="Arial"/>
        <color rgb="FF1155CC"/>
        <u/>
      </rPr>
      <t>S.Si</t>
    </r>
    <r>
      <rPr>
        <rFont val="Arial"/>
      </rPr>
      <t>.</t>
    </r>
  </si>
  <si>
    <t>1ZTZ0PFTGjT-lHE2ZeVOzyQLC9YrapAeM</t>
  </si>
  <si>
    <t>https://drive.google.com/file/d/1ZTZ0PFTGjT-lHE2ZeVOzyQLC9YrapAeM/view?usp=drivesdk</t>
  </si>
  <si>
    <r>
      <rPr>
        <rFont val="Arial"/>
      </rPr>
      <t xml:space="preserve">Afifah Rizki Aulia, </t>
    </r>
    <r>
      <rPr>
        <rFont val="Arial"/>
        <color rgb="FF1155CC"/>
        <u/>
      </rPr>
      <t>S.Si.</t>
    </r>
  </si>
  <si>
    <t>1hMTuNpHY-HlJxVp8z_oTOSnL4VZNhg1a</t>
  </si>
  <si>
    <t>https://drive.google.com/file/d/1hMTuNpHY-HlJxVp8z_oTOSnL4VZNhg1a/view?usp=drivesdk</t>
  </si>
  <si>
    <r>
      <rPr/>
      <t xml:space="preserve">Trisan Andrean Putra, </t>
    </r>
    <r>
      <rPr>
        <color rgb="FF1155CC"/>
        <u/>
      </rPr>
      <t>S.Si</t>
    </r>
    <r>
      <rPr/>
      <t>.</t>
    </r>
  </si>
  <si>
    <r>
      <rPr>
        <rFont val="Arial"/>
      </rPr>
      <t xml:space="preserve">Dina Rizky Triani, </t>
    </r>
    <r>
      <rPr>
        <rFont val="Arial"/>
        <color rgb="FF1155CC"/>
        <u/>
      </rPr>
      <t>S.Si</t>
    </r>
    <r>
      <rPr>
        <rFont val="Arial"/>
      </rPr>
      <t>.</t>
    </r>
  </si>
  <si>
    <t>1GOZ0UKlpHbmGjFWDTwX4trz4L15KCEGp</t>
  </si>
  <si>
    <t>https://drive.google.com/file/d/1GOZ0UKlpHbmGjFWDTwX4trz4L15KCEGp/view?usp=drivesdk</t>
  </si>
  <si>
    <t>Document successfully created; Document successfully merged; PDF created; Manually run by admlphuinjkt@gmail.com; Timestamp: May 4 2026 9:37 PM</t>
  </si>
  <si>
    <t>1ktqzvlQHLdev0jUYNOG-wmTXK9CixonE</t>
  </si>
  <si>
    <t>https://drive.google.com/file/d/1ktqzvlQHLdev0jUYNOG-wmTXK9CixonE/view?usp=drivesdk</t>
  </si>
  <si>
    <t>Document successfully created; Document successfully merged; PDF created; Manually run by admlphuinjkt@gmail.com; Timestamp: May 4 2026 9:38 PM</t>
  </si>
  <si>
    <t>1t7Qo52fcBImPLT3KSSYbM1Posmrbw4JE</t>
  </si>
  <si>
    <t>https://drive.google.com/file/d/1t7Qo52fcBImPLT3KSSYbM1Posmrbw4JE/view?usp=drivesdk</t>
  </si>
  <si>
    <t>Apt. Suci Ahda Novitiri, M.Farm</t>
  </si>
  <si>
    <t>15e5qO2-Uu_PKKki8texEzJR_NkAxDlt3</t>
  </si>
  <si>
    <t>https://drive.google.com/file/d/15e5qO2-Uu_PKKki8texEzJR_NkAxDlt3/view?usp=drivesdk</t>
  </si>
  <si>
    <t>Document successfully created; Document successfully merged; PDF created; Manually run by admlphuinjkt@gmail.com; Timestamp: May 7 2026 3:49 AM</t>
  </si>
  <si>
    <r>
      <rPr>
        <rFont val="Arial"/>
        <color theme="1"/>
      </rPr>
      <t xml:space="preserve">Nahla Qurrotu'ain, </t>
    </r>
    <r>
      <rPr>
        <rFont val="Arial"/>
        <color rgb="FF000000"/>
      </rPr>
      <t>S.Si</t>
    </r>
    <r>
      <rPr>
        <rFont val="Arial"/>
        <color theme="1"/>
      </rPr>
      <t>.</t>
    </r>
  </si>
  <si>
    <t>12VIXvd-geCcIgyyh2kUi4I6VEbTOIufc</t>
  </si>
  <si>
    <t>https://drive.google.com/file/d/12VIXvd-geCcIgyyh2kUi4I6VEbTOIufc/view?usp=drivesdk</t>
  </si>
  <si>
    <t>Document successfully created; Document successfully merged; PDF created; Manually run by admlphuinjkt@gmail.com; Timestamp: May 7 2026 3:50 AM</t>
  </si>
  <si>
    <t>AUDITOR4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</si>
  <si>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</si>
  <si>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</si>
  <si>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</si>
  <si>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</si>
  <si>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</si>
  <si>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</si>
  <si>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</si>
  <si>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</si>
  <si>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</si>
  <si>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</si>
  <si>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</si>
  <si>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</si>
  <si>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</si>
  <si>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</si>
  <si>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</si>
  <si>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</si>
  <si>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</si>
  <si>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</si>
  <si>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</si>
  <si>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</si>
  <si>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</si>
  <si>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</si>
  <si>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</si>
  <si>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</si>
  <si>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</si>
  <si>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</si>
  <si>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</si>
  <si>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</si>
  <si>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</si>
  <si>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_1767686601535</t>
  </si>
  <si>
    <t>1wlwy7sHQA0DCiTMl4FmBW-hr_HZhA4-WBachsc0yqOY</t>
  </si>
  <si>
    <t>&lt;&lt;Nomor&gt;&gt;_SPK - &lt;&lt;Nama PU&gt;&gt;</t>
  </si>
  <si>
    <t>PDF</t>
  </si>
  <si>
    <t>["190TlH142n01TIMLKLm0oHOnHqN6b1QLJ"]</t>
  </si>
  <si>
    <t>[]</t>
  </si>
  <si>
    <t>MULTIPLE_OUTPUT</t>
  </si>
  <si>
    <t>[{"type":"STANDARD","details":{"isUnmapped":false,"headerMap":"Nomor"},"tag":"No"},{"type":"STANDARD","details":{"isUnmapped":false,"headerMap":"Bulan"},"tag":"Bulan"},{"type":"STANDARD","details":{"isUnmapped":false,"headerMap":"Hari"},"tag":"Hari"},{"type":"STANDARD","details":{"isUnmapped":false,"headerMap":"Tanggal"},"tag":"Tanggal"},{"type":"STANDARD","details":{"isUnmapped":false,"headerMap":"Tempat"},"tag":"Tempat"},{"type":"STANDARD","details":{"isUnmapped":false,"headerMap":"Auditor"},"tag":"Auditor"},{"type":"STANDARD","details":{"isUnmapped":false,"headerMap":"Nama PU"},"tag":"Nama PU"}]</t>
  </si>
  <si>
    <t>_1767687171175</t>
  </si>
  <si>
    <t>Surat Tugas 2 org</t>
  </si>
  <si>
    <t>1yFdRjlCZG-g6sxQccWkZCfdH2BgwgM-f0EKaNiVyKmU</t>
  </si>
  <si>
    <t>&lt;&lt;Nomor&gt;&gt;_Surat Tugas - &lt;&lt;Nama PU&gt;&gt;</t>
  </si>
  <si>
    <t>["1Y05jXVAZJrBEx_4wwK1bUlKR_fLI7vzq"]</t>
  </si>
  <si>
    <t>[{"type":"STANDARD","details":{"isUnmapped":false,"headerMap":"Nomor"},"tag":"Nomor"},{"type":"STANDARD","details":{"isUnmapped":false,"headerMap":"Bulan"},"tag":"Bulan"},{"type":"STANDARD","details":{"isUnmapped":false,"headerMap":"Nama 1"},"tag":"Nama Auditor1"},{"type":"STANDARD","details":{"isUnmapped":false,"headerMap":"Jabatan 1"},"tag":"Jabatan1"},{"type":"STANDARD","details":{"isUnmapped":false,"headerMap":"Nama 2"},"tag":"Nama Auditor2"},{"type":"STANDARD","details":{"isUnmapped":false,"headerMap":"Jabatan 2"},"tag":"Jabatan2"},{"type":"STANDARD","details":{"isUnmapped":false,"headerMap":"Nama PU"},"tag":"Nama PU"},{"type":"STANDARD","details":{"isUnmapped":false,"headerMap":"Nama Pabrik"},"tag":"Nama Pabrik"},{"type":"STANDARD","details":{"isUnmapped":false,"headerMap":"Alamat"},"tag":"Alamat"},{"type":"STANDARD","details":{"isUnmapped":false,"headerMap":"Produk"},"tag":"Produk"},{"type":"STANDARD","details":{"isUnmapped":false,"headerMap":"No Reg"},"tag":"No Reg"},{"type":"STANDARD","details":{"isUnmapped":false,"headerMap":"Tanggal Audit"},"tag":"Tanggal Audit"},{"type":"STANDARD","details":{"isUnmapped":false,"headerMap":"Tanggal Surat"},"tag":"Tanggal Surat"}]</t>
  </si>
  <si>
    <t>_1767687431896</t>
  </si>
  <si>
    <t>Surat Tugas 3 Orang</t>
  </si>
  <si>
    <t>1tTHSNfiiiggNFQiXOFjisfNYMsF0dVdTym8FlsgkKfM</t>
  </si>
  <si>
    <t>[{"type":"STANDARD","details":{"isUnmapped":false,"headerMap":"Nomor"},"tag":"Nomor"},{"type":"STANDARD","details":{"isUnmapped":false,"headerMap":"Bulan"},"tag":"Bulan"},{"type":"STANDARD","details":{"isUnmapped":false,"headerMap":"Nama Auditor1"},"tag":"Nama Auditor1"},{"type":"STANDARD","details":{"isUnmapped":false,"headerMap":"Jabatan1"},"tag":"Jabatan1"},{"type":"STANDARD","details":{"isUnmapped":false,"headerMap":"Nama Auditor2"},"tag":"Nama Auditor2"},{"type":"STANDARD","details":{"isUnmapped":false,"headerMap":"Jabatan2"},"tag":"Jabatan2"},{"type":"STANDARD","details":{"isUnmapped":false,"headerMap":"Nama Auditor3"},"tag":"Nama Auditor3"},{"type":"STANDARD","details":{"isUnmapped":false,"headerMap":"Jabatan3"},"tag":"Jabatan3"},{"type":"STANDARD","details":{"isUnmapped":false,"headerMap":"Nama PU"},"tag":"Nama PU"},{"type":"STANDARD","details":{"isUnmapped":false,"headerMap":"Nama Pabrik"},"tag":"Nama Pabrik"},{"type":"STANDARD","details":{"isUnmapped":false,"headerMap":"Alamat"},"tag":"Alamat"},{"type":"STANDARD","details":{"isUnmapped":false,"headerMap":"Jenis Produk"},"tag":"Produk"},{"type":"STANDARD","details":{"isUnmapped":false,"headerMap":"No Reg"},"tag":"No Reg"},{"type":"STANDARD","details":{"isUnmapped":false,"headerMap":"Tanggal Audit"},"tag":"Tanggal Audit"},{"type":"STANDARD","details":{"isUnmapped":false,"headerMap":"Tanggal Surat"},"tag":"Tanggal Surat"}]</t>
  </si>
  <si>
    <t>_1767687541569</t>
  </si>
  <si>
    <t>Surat Tugas 4 orang</t>
  </si>
  <si>
    <t>1yv2gC6RJiY4cFsv-MWUZ7cgwq5mpC1rTVR9784NMaAU</t>
  </si>
  <si>
    <t>[{"type":"STANDARD","details":{"isUnmapped":false,"headerMap":"Nomor"},"tag":"Nomor"},{"type":"STANDARD","details":{"isUnmapped":false,"headerMap":"Bulan"},"tag":"Bulan"},{"type":"STANDARD","details":{"isUnmapped":false,"headerMap":"Nama Auditor1"},"tag":"Nama Auditor1"},{"type":"STANDARD","details":{"isUnmapped":false,"headerMap":"Jabatan1"},"tag":"Jabatan1"},{"type":"STANDARD","details":{"isUnmapped":false,"headerMap":"Nama Auditor2"},"tag":"Nama Auditor2"},{"type":"STANDARD","details":{"isUnmapped":false,"headerMap":"Jabatan2"},"tag":"Jabatan2"},{"type":"STANDARD","details":{"isUnmapped":false,"headerMap":"Nama Auditor3"},"tag":"Nama Auditor3"},{"type":"STANDARD","details":{"isUnmapped":false,"headerMap":"Jabatan3"},"tag":"Jabatan3"},{"type":"STANDARD","details":{"isUnmapped":false,"headerMap":"Nama Auditor4"},"tag":"Nama Auditor4"},{"type":"STANDARD","details":{"isUnmapped":false,"headerMap":"Jabatan4"},"tag":"Jabatan4"},{"type":"STANDARD","details":{"isUnmapped":false,"headerMap":"Nama PU"},"tag":"Nama PU"},{"type":"STANDARD","details":{"isUnmapped":false,"headerMap":"Nama Pabrik"},"tag":"Nama Pabrik"},{"type":"STANDARD","details":{"isUnmapped":false,"headerMap":"Alamat"},"tag":"Alamat"},{"type":"STANDARD","details":{"isUnmapped":false,"headerMap":"Produk"},"tag":"Produk"},{"type":"STANDARD","details":{"isUnmapped":false,"headerMap":"No Reg"},"tag":"No Reg"},{"type":"STANDARD","details":{"isUnmapped":false,"headerMap":"Tanggal Audit"},"tag":"Tanggal Audit"},{"type":"STANDARD","details":{"isUnmapped":false,"headerMap":"Tanggal Surat"},"tag":"Tanggal Surat"}]</t>
  </si>
  <si>
    <t>_1767687600845</t>
  </si>
  <si>
    <t>Berkas Audit 2 orang</t>
  </si>
  <si>
    <t>1EQHDlLZWvpC3OW1wQI0qF7Uohw-UdRPEtHqet0q2elY</t>
  </si>
  <si>
    <t>Berkas Audit - &lt;&lt;NAMA PU&gt;&gt;</t>
  </si>
  <si>
    <t>["152fqS1lavzU3SywEVhUiZCkXAOKQsymL"]</t>
  </si>
  <si>
    <t>[{"type":"STANDARD","details":{"isUnmapped":false,"headerMap":"NAMA PU"},"tag":"NAMA PU"},{"type":"STANDARD","details":{"isUnmapped":false,"headerMap":"HARI TANGGAL"},"tag":"HARI TANGGAL"},{"type":"STANDARD","details":{"isUnmapped":false,"headerMap":"NO DAFTAR"},"tag":" NO DAFTAR"},{"type":"STANDARD","details":{"isUnmapped":false,"headerMap":"AUDITOR1"},"tag":"AUDITOR1"},{"type":"STANDARD","details":{"isUnmapped":false,"headerMap":"AUDITOR2"},"tag":"AUDITOR2"}]</t>
  </si>
  <si>
    <t>_1767687725191</t>
  </si>
  <si>
    <t>Berkas Audit 3 orang</t>
  </si>
  <si>
    <t>1WFUx6ijuv9dWnczWPnfiz7tqLGJfwGvwJ9Lxv8_xo_o</t>
  </si>
  <si>
    <t>[{"type":"STANDARD","details":{"isUnmapped":false,"headerMap":"NAMA PU"},"tag":"NAMA PU"},{"type":"STANDARD","details":{"isUnmapped":false,"headerMap":"HARI TANGGAL"},"tag":"HARI TANGGAL"},{"type":"STANDARD","details":{"isUnmapped":false,"headerMap":"NO DAFTAR"},"tag":" NO DAFTAR"},{"type":"STANDARD","details":{"isUnmapped":false,"headerMap":"AUDITOR1"},"tag":"AUDITOR1"},{"type":"STANDARD","details":{"isUnmapped":false,"headerMap":"AUDITOR2"},"tag":"AUDITOR2"},{"type":"STANDARD","details":{"isUnmapped":false,"headerMap":"AUDITOR3"},"tag":"AUDITOR3"}]</t>
  </si>
  <si>
    <t>_1767687788121</t>
  </si>
  <si>
    <t>Berkas Audit 4 orang</t>
  </si>
  <si>
    <t>1_AhbiOPR3yvWsZwKtu61rHeBgeKdo6Ss_vowuRk3908</t>
  </si>
  <si>
    <t>[{"type":"STANDARD","details":{"isUnmapped":false,"headerMap":"NAMA PU"},"tag":"NAMA PU"},{"type":"STANDARD","details":{"isUnmapped":false,"headerMap":"HARI TANGGAL"},"tag":"HARI TANGGAL"},{"type":"STANDARD","details":{"isUnmapped":false,"headerMap":"NO DAFTAR"},"tag":" NO DAFTAR"},{"type":"STANDARD","details":{"isUnmapped":false,"headerMap":"AUDITOR1"},"tag":"AUDITOR1"},{"type":"STANDARD","details":{"isUnmapped":false,"headerMap":"AUDITOR2"},"tag":"AUDITOR2"},{"type":"STANDARD","details":{"isUnmapped":false,"headerMap":"AUDITOR3"},"tag":"AUDITOR3"},{"type":"STANDARD","details":{"isUnmapped":false,"headerMap":"AUDITOR4"},"tag":"AUDITOR4"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</si>
</sst>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m yyyy"/>
    <numFmt numFmtId="165" formatCode="d mmmm yyyy"/>
  </numFmts>
  <fonts count="3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262B43"/>
      <name val="Arial"/>
      <scheme val="minor"/>
    </font>
    <font>
      <b/>
      <color theme="1"/>
      <name val="Arial"/>
    </font>
    <font>
      <b/>
      <i/>
      <color rgb="FF000000"/>
      <name val="Arial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sz val="10.0"/>
      <color rgb="FF000000"/>
      <name val="Arial"/>
    </font>
    <font>
      <sz val="11.0"/>
      <color rgb="FF262B43"/>
      <name val="Inte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1.0"/>
      <color theme="1"/>
      <name val="&quot;Arial&quot;"/>
    </font>
    <font>
      <b/>
      <i/>
      <color theme="1"/>
      <name val="Arial"/>
    </font>
    <font>
      <u/>
      <color rgb="FF0000FF"/>
      <name val="Arial"/>
    </font>
    <font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</fills>
  <borders count="2">
    <border/>
    <border>
      <bottom style="thin">
        <color rgb="FF262B43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2" fontId="2" numFmtId="0" xfId="0" applyFill="1" applyFont="1"/>
    <xf borderId="0" fillId="3" fontId="1" numFmtId="0" xfId="0" applyAlignment="1" applyFill="1" applyFont="1">
      <alignment horizontal="center" readingOrder="0"/>
    </xf>
    <xf borderId="0" fillId="0" fontId="2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4" fontId="6" numFmtId="0" xfId="0" applyAlignment="1" applyFill="1" applyFont="1">
      <alignment readingOrder="0"/>
    </xf>
    <xf borderId="0" fillId="3" fontId="7" numFmtId="0" xfId="0" applyAlignment="1" applyFont="1">
      <alignment vertical="bottom"/>
    </xf>
    <xf borderId="0" fillId="5" fontId="8" numFmtId="0" xfId="0" applyAlignment="1" applyFill="1" applyFont="1">
      <alignment readingOrder="0" vertical="bottom"/>
    </xf>
    <xf borderId="0" fillId="0" fontId="9" numFmtId="0" xfId="0" applyAlignment="1" applyFont="1">
      <alignment vertical="bottom"/>
    </xf>
    <xf quotePrefix="1" borderId="0" fillId="0" fontId="9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0" fontId="10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4" fontId="9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4" fontId="9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15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16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6" fontId="9" numFmtId="0" xfId="0" applyAlignment="1" applyFill="1" applyFont="1">
      <alignment readingOrder="0" vertical="bottom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quotePrefix="1" borderId="0" fillId="0" fontId="9" numFmtId="0" xfId="0" applyAlignment="1" applyFont="1">
      <alignment horizontal="right" readingOrder="0" vertical="bottom"/>
    </xf>
    <xf borderId="0" fillId="0" fontId="17" numFmtId="0" xfId="0" applyAlignment="1" applyFont="1">
      <alignment horizontal="right" readingOrder="0" vertical="bottom"/>
    </xf>
    <xf borderId="0" fillId="0" fontId="18" numFmtId="0" xfId="0" applyAlignment="1" applyFont="1">
      <alignment horizontal="right" readingOrder="0" vertical="bottom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shrinkToFit="0" vertical="bottom" wrapText="1"/>
    </xf>
    <xf borderId="0" fillId="5" fontId="21" numFmtId="0" xfId="0" applyAlignment="1" applyFont="1">
      <alignment vertical="bottom"/>
    </xf>
    <xf borderId="0" fillId="4" fontId="22" numFmtId="0" xfId="0" applyAlignment="1" applyFont="1">
      <alignment readingOrder="0" vertical="bottom"/>
    </xf>
    <xf borderId="0" fillId="4" fontId="9" numFmtId="0" xfId="0" applyAlignment="1" applyFont="1">
      <alignment vertical="bottom"/>
    </xf>
    <xf borderId="0" fillId="4" fontId="9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0" numFmtId="0" xfId="0" applyAlignment="1" applyFont="1">
      <alignment readingOrder="0"/>
    </xf>
    <xf borderId="0" fillId="4" fontId="9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4" fontId="23" numFmtId="0" xfId="0" applyAlignment="1" applyFont="1">
      <alignment readingOrder="0" vertical="bottom"/>
    </xf>
    <xf borderId="1" fillId="4" fontId="6" numFmtId="0" xfId="0" applyAlignment="1" applyBorder="1" applyFont="1">
      <alignment readingOrder="0" shrinkToFit="0" wrapText="0"/>
    </xf>
    <xf borderId="0" fillId="6" fontId="9" numFmtId="0" xfId="0" applyAlignment="1" applyFont="1">
      <alignment readingOrder="0" vertical="bottom"/>
    </xf>
    <xf borderId="0" fillId="4" fontId="16" numFmtId="0" xfId="0" applyFont="1"/>
    <xf borderId="0" fillId="4" fontId="9" numFmtId="0" xfId="0" applyAlignment="1" applyFont="1">
      <alignment vertical="bottom"/>
    </xf>
    <xf borderId="0" fillId="4" fontId="9" numFmtId="0" xfId="0" applyAlignment="1" applyFont="1">
      <alignment horizontal="right" readingOrder="0" vertical="bottom"/>
    </xf>
    <xf borderId="0" fillId="4" fontId="24" numFmtId="0" xfId="0" applyAlignment="1" applyFont="1">
      <alignment readingOrder="0" vertical="bottom"/>
    </xf>
    <xf borderId="0" fillId="6" fontId="9" numFmtId="0" xfId="0" applyAlignment="1" applyFont="1">
      <alignment vertical="bottom"/>
    </xf>
    <xf borderId="0" fillId="6" fontId="9" numFmtId="0" xfId="0" applyAlignment="1" applyFont="1">
      <alignment readingOrder="0" vertical="bottom"/>
    </xf>
    <xf borderId="0" fillId="0" fontId="25" numFmtId="0" xfId="0" applyAlignment="1" applyFont="1">
      <alignment readingOrder="0" vertical="bottom"/>
    </xf>
    <xf borderId="0" fillId="0" fontId="26" numFmtId="0" xfId="0" applyAlignment="1" applyFont="1">
      <alignment readingOrder="0" vertical="bottom"/>
    </xf>
    <xf borderId="0" fillId="0" fontId="2" numFmtId="0" xfId="0" applyFont="1"/>
    <xf borderId="0" fillId="6" fontId="9" numFmtId="0" xfId="0" applyAlignment="1" applyFont="1">
      <alignment vertical="bottom"/>
    </xf>
    <xf borderId="0" fillId="6" fontId="9" numFmtId="0" xfId="0" applyAlignment="1" applyFont="1">
      <alignment readingOrder="0" vertical="bottom"/>
    </xf>
    <xf borderId="0" fillId="4" fontId="27" numFmtId="0" xfId="0" applyAlignment="1" applyFont="1">
      <alignment vertical="bottom"/>
    </xf>
    <xf borderId="0" fillId="4" fontId="28" numFmtId="0" xfId="0" applyAlignment="1" applyFont="1">
      <alignment readingOrder="0" vertical="bottom"/>
    </xf>
    <xf borderId="0" fillId="0" fontId="29" numFmtId="0" xfId="0" applyFont="1"/>
    <xf borderId="1" fillId="4" fontId="16" numFmtId="0" xfId="0" applyAlignment="1" applyBorder="1" applyFont="1">
      <alignment readingOrder="0" shrinkToFit="0" wrapText="0"/>
    </xf>
    <xf borderId="0" fillId="4" fontId="9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3">
    <tableStyle count="2" pivot="0" name="SPK-style">
      <tableStyleElement dxfId="1" type="firstRowStripe"/>
      <tableStyleElement dxfId="2" type="secondRowStripe"/>
    </tableStyle>
    <tableStyle count="2" pivot="0" name="SPK-style 2">
      <tableStyleElement dxfId="1" type="firstRowStripe"/>
      <tableStyleElement dxfId="2" type="secondRowStripe"/>
    </tableStyle>
    <tableStyle count="2" pivot="0" name="ST 2 org-style">
      <tableStyleElement dxfId="1" type="firstRowStripe"/>
      <tableStyleElement dxfId="2" type="secondRowStripe"/>
    </tableStyle>
    <tableStyle count="2" pivot="0" name="ST 2 org-style 2">
      <tableStyleElement dxfId="2" type="firstRowStripe"/>
      <tableStyleElement dxfId="1" type="secondRowStripe"/>
    </tableStyle>
    <tableStyle count="2" pivot="0" name="ST 2 org-style 3">
      <tableStyleElement dxfId="1" type="firstRowStripe"/>
      <tableStyleElement dxfId="2" type="secondRowStripe"/>
    </tableStyle>
    <tableStyle count="2" pivot="0" name="ST 2 org-style 4">
      <tableStyleElement dxfId="1" type="firstRowStripe"/>
      <tableStyleElement dxfId="2" type="secondRowStripe"/>
    </tableStyle>
    <tableStyle count="2" pivot="0" name="ST 2 org-style 5">
      <tableStyleElement dxfId="1" type="firstRowStripe"/>
      <tableStyleElement dxfId="2" type="secondRowStripe"/>
    </tableStyle>
    <tableStyle count="2" pivot="0" name="ST 2 org-style 6">
      <tableStyleElement dxfId="2" type="firstRowStripe"/>
      <tableStyleElement dxfId="1" type="secondRowStripe"/>
    </tableStyle>
    <tableStyle count="2" pivot="0" name="ST 2 org-style 7">
      <tableStyleElement dxfId="2" type="firstRowStripe"/>
      <tableStyleElement dxfId="1" type="secondRowStripe"/>
    </tableStyle>
    <tableStyle count="2" pivot="0" name="ST 3 org-style">
      <tableStyleElement dxfId="2" type="firstRowStripe"/>
      <tableStyleElement dxfId="1" type="secondRowStripe"/>
    </tableStyle>
    <tableStyle count="2" pivot="0" name="Berkas Audit 2 org-style">
      <tableStyleElement dxfId="1" type="firstRowStripe"/>
      <tableStyleElement dxfId="2" type="secondRowStripe"/>
    </tableStyle>
    <tableStyle count="2" pivot="0" name="Berkas Audit 3 org-style">
      <tableStyleElement dxfId="2" type="firstRowStripe"/>
      <tableStyleElement dxfId="1" type="secondRowStripe"/>
    </tableStyle>
    <tableStyle count="2" pivot="0" name="Berkas Audit 3 org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7:J27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PK-style" showColumnStripes="0" showFirstColumn="1" showLastColumn="1" showRowStripes="1"/>
</table>
</file>

<file path=xl/tables/table2.xml><?xml version="1.0" encoding="utf-8"?>
<table xmlns="http://schemas.openxmlformats.org/spreadsheetml/2006/main" headerRowCount="0" ref="E28:K57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PK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:Q22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T 2 org-style" showColumnStripes="0" showFirstColumn="1" showLastColumn="1" showRowStripes="1"/>
</table>
</file>

<file path=xl/tables/table4.xml><?xml version="1.0" encoding="utf-8"?>
<table xmlns="http://schemas.openxmlformats.org/spreadsheetml/2006/main" headerRowCount="0" ref="C23:K24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T 2 org-style 2" showColumnStripes="0" showFirstColumn="1" showLastColumn="1" showRowStripes="1"/>
</table>
</file>

<file path=xl/tables/table5.xml><?xml version="1.0" encoding="utf-8"?>
<table xmlns="http://schemas.openxmlformats.org/spreadsheetml/2006/main" headerRowCount="0" ref="C25:J25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T 2 org-style 3" showColumnStripes="0" showFirstColumn="1" showLastColumn="1" showRowStripes="1"/>
</table>
</file>

<file path=xl/tables/table6.xml><?xml version="1.0" encoding="utf-8"?>
<table xmlns="http://schemas.openxmlformats.org/spreadsheetml/2006/main" headerRowCount="0" ref="C27:K32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T 2 org-style 4" showColumnStripes="0" showFirstColumn="1" showLastColumn="1" showRowStripes="1"/>
</table>
</file>

<file path=xl/tables/table7.xml><?xml version="1.0" encoding="utf-8"?>
<table xmlns="http://schemas.openxmlformats.org/spreadsheetml/2006/main" headerRowCount="0" ref="E33:G39" displayName="Table_7" name="Table_7" id="7">
  <tableColumns count="3">
    <tableColumn name="Column1" id="1"/>
    <tableColumn name="Column2" id="2"/>
    <tableColumn name="Column3" id="3"/>
  </tableColumns>
  <tableStyleInfo name="ST 2 org-style 5" showColumnStripes="0" showFirstColumn="1" showLastColumn="1" showRowStripes="1"/>
</table>
</file>

<file path=xl/tables/table8.xml><?xml version="1.0" encoding="utf-8"?>
<table xmlns="http://schemas.openxmlformats.org/spreadsheetml/2006/main" headerRowCount="0" ref="C36:D39" displayName="Table_8" name="Table_8" id="8">
  <tableColumns count="2">
    <tableColumn name="Column1" id="1"/>
    <tableColumn name="Column2" id="2"/>
  </tableColumns>
  <tableStyleInfo name="ST 2 org-style 6" showColumnStripes="0" showFirstColumn="1" showLastColumn="1" showRowStripes="1"/>
</table>
</file>

<file path=xl/tables/table9.xml><?xml version="1.0" encoding="utf-8"?>
<table xmlns="http://schemas.openxmlformats.org/spreadsheetml/2006/main" headerRowCount="0" ref="H36:I39" displayName="Table_9" name="Table_9" id="9">
  <tableColumns count="2">
    <tableColumn name="Column1" id="1"/>
    <tableColumn name="Column2" id="2"/>
  </tableColumns>
  <tableStyleInfo name="ST 2 org-style 7" showColumnStripes="0" showFirstColumn="1" showLastColumn="1" showRowStripes="1"/>
</table>
</file>

<file path=xl/tables/table10.xml><?xml version="1.0" encoding="utf-8"?>
<table xmlns="http://schemas.openxmlformats.org/spreadsheetml/2006/main" headerRowCount="0" ref="C2:M21" displayName="Table_10" name="Table_10" id="1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T 3 org-style" showColumnStripes="0" showFirstColumn="1" showLastColumn="1" showRowStripes="1"/>
</table>
</file>

<file path=xl/tables/table11.xml><?xml version="1.0" encoding="utf-8"?>
<table xmlns="http://schemas.openxmlformats.org/spreadsheetml/2006/main" headerRowCount="0" ref="A6:H31" displayName="Table_11" name="Table_11" id="1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erkas Audit 2 org-style" showColumnStripes="0" showFirstColumn="1" showLastColumn="1" showRowStripes="1"/>
</table>
</file>

<file path=xl/tables/table12.xml><?xml version="1.0" encoding="utf-8"?>
<table xmlns="http://schemas.openxmlformats.org/spreadsheetml/2006/main" headerRowCount="0" ref="A8:A15" displayName="Table_12" name="Table_12" id="12">
  <tableColumns count="1">
    <tableColumn name="Column1" id="1"/>
  </tableColumns>
  <tableStyleInfo name="Berkas Audit 3 org-style" showColumnStripes="0" showFirstColumn="1" showLastColumn="1" showRowStripes="1"/>
</table>
</file>

<file path=xl/tables/table13.xml><?xml version="1.0" encoding="utf-8"?>
<table xmlns="http://schemas.openxmlformats.org/spreadsheetml/2006/main" headerRowCount="0" ref="C13:M19" displayName="Table_13" name="Table_13" id="1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erkas Audit 3 or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xQkdZOtM_k0BXNw2u5SBVgUIOL8mz057/view?usp=drivesdk" TargetMode="External"/><Relationship Id="rId42" Type="http://schemas.openxmlformats.org/officeDocument/2006/relationships/hyperlink" Target="https://drive.google.com/file/d/1cuY62xbd05v1qjU5qJlsZc-wLoImc0Jz/view?usp=drivesdk" TargetMode="External"/><Relationship Id="rId41" Type="http://schemas.openxmlformats.org/officeDocument/2006/relationships/hyperlink" Target="https://drive.google.com/file/d/1_T6BlQMNzeu3tg6Ba3Ep_jjv3pBl-yuA/view?usp=drivesdk" TargetMode="External"/><Relationship Id="rId44" Type="http://schemas.openxmlformats.org/officeDocument/2006/relationships/hyperlink" Target="https://drive.google.com/file/d/1Ndmr1jG1KR-hNUvR4kTOT3hwjPvwTpNB/view?usp=drivesdk" TargetMode="External"/><Relationship Id="rId43" Type="http://schemas.openxmlformats.org/officeDocument/2006/relationships/hyperlink" Target="https://drive.google.com/file/d/14s0nVWbh4jO3iwSRCOG5WGlRVZeRv1dk/view?usp=drivesdk" TargetMode="External"/><Relationship Id="rId46" Type="http://schemas.openxmlformats.org/officeDocument/2006/relationships/hyperlink" Target="https://drive.google.com/file/d/1XlXDQuPlWYOruogKVsJajdpeyou06Cjz/view?usp=drivesdk" TargetMode="External"/><Relationship Id="rId45" Type="http://schemas.openxmlformats.org/officeDocument/2006/relationships/hyperlink" Target="https://drive.google.com/file/d/1apABu_A74AjS3lKScd-aYtCfUjm3j51y/view?usp=drivesdk" TargetMode="External"/><Relationship Id="rId107" Type="http://schemas.openxmlformats.org/officeDocument/2006/relationships/hyperlink" Target="https://drive.google.com/file/d/1hcgycVp6kzsV_EREo3TmjEaWtYI7RbB6/view?usp=drivesdk" TargetMode="External"/><Relationship Id="rId106" Type="http://schemas.openxmlformats.org/officeDocument/2006/relationships/hyperlink" Target="https://drive.google.com/file/d/1U0OSKXA14No5S-e1GxCraXqOW-RwK8iX/view?usp=drivesdk" TargetMode="External"/><Relationship Id="rId105" Type="http://schemas.openxmlformats.org/officeDocument/2006/relationships/hyperlink" Target="https://drive.google.com/file/d/1DbA28cALOIZ-bAO_A6mB-1hG14isKOSd/view?usp=drivesdk" TargetMode="External"/><Relationship Id="rId104" Type="http://schemas.openxmlformats.org/officeDocument/2006/relationships/hyperlink" Target="https://drive.google.com/file/d/1vPt9KUzs9xiT4ZyfI_6yvUj1KQvoQ1t7/view?usp=drivesdk" TargetMode="External"/><Relationship Id="rId109" Type="http://schemas.openxmlformats.org/officeDocument/2006/relationships/hyperlink" Target="https://drive.google.com/file/d/1JeNKkEXwSPr8VmxPkNiaSjrBV3---V7b/view?usp=drivesdk" TargetMode="External"/><Relationship Id="rId108" Type="http://schemas.openxmlformats.org/officeDocument/2006/relationships/hyperlink" Target="https://drive.google.com/file/d/1O88X1SQXiVVq0wndXN1XqF3HNGxBcUGh/view?usp=drivesdk" TargetMode="External"/><Relationship Id="rId48" Type="http://schemas.openxmlformats.org/officeDocument/2006/relationships/hyperlink" Target="https://drive.google.com/file/d/1ntoA4I2mDzS7tyMzD9MhIymH0Xq69Pov/view?usp=drivesdk" TargetMode="External"/><Relationship Id="rId47" Type="http://schemas.openxmlformats.org/officeDocument/2006/relationships/hyperlink" Target="https://drive.google.com/file/d/1ZJiKy3Mj7kVlaoH3jcCiei8gj_Km3PNB/view?usp=drivesdk" TargetMode="External"/><Relationship Id="rId49" Type="http://schemas.openxmlformats.org/officeDocument/2006/relationships/hyperlink" Target="https://drive.google.com/file/d/1zsAebtBw93pQxGN_61vwYG_3ArKb4jDb/view?usp=drivesdk" TargetMode="External"/><Relationship Id="rId103" Type="http://schemas.openxmlformats.org/officeDocument/2006/relationships/hyperlink" Target="https://drive.google.com/file/d/1XurTf5Di8kCM7QhkVBz5ySa_nlaxJVDx/view?usp=drivesdk" TargetMode="External"/><Relationship Id="rId102" Type="http://schemas.openxmlformats.org/officeDocument/2006/relationships/hyperlink" Target="https://drive.google.com/file/d/1Ns2Io2LXtkRhbreQzhKXCFo6Sbu2QNix/view?usp=drivesdk" TargetMode="External"/><Relationship Id="rId101" Type="http://schemas.openxmlformats.org/officeDocument/2006/relationships/hyperlink" Target="https://drive.google.com/file/d/1gPinhmTNPZgRF9OMAByXxkiMajbNQ4Mz/view?usp=drivesdk" TargetMode="External"/><Relationship Id="rId100" Type="http://schemas.openxmlformats.org/officeDocument/2006/relationships/hyperlink" Target="https://drive.google.com/file/d/1tIG-wsbl0QSmtwtmiXtpgwtUpgB8VGh-/view?usp=drivesdk" TargetMode="External"/><Relationship Id="rId31" Type="http://schemas.openxmlformats.org/officeDocument/2006/relationships/hyperlink" Target="https://drive.google.com/file/d/1qpQRin7aMkcWvSd-FqtelOELpegJp3lW/view?usp=drivesdk" TargetMode="External"/><Relationship Id="rId30" Type="http://schemas.openxmlformats.org/officeDocument/2006/relationships/hyperlink" Target="https://drive.google.com/file/d/1fMdn4sTK4TohyLHdThlTMFGs0Vb5ds8C/view?usp=drivesdk" TargetMode="External"/><Relationship Id="rId33" Type="http://schemas.openxmlformats.org/officeDocument/2006/relationships/hyperlink" Target="https://drive.google.com/file/d/1h6Wf4fgvQ0i7LON41MNaOGA6aiPjJWea/view?usp=drivesdk" TargetMode="External"/><Relationship Id="rId32" Type="http://schemas.openxmlformats.org/officeDocument/2006/relationships/hyperlink" Target="https://drive.google.com/file/d/1CaN36IWi0YumxZCgUaeuLhXNldd7zqTr/view?usp=drivesdk" TargetMode="External"/><Relationship Id="rId35" Type="http://schemas.openxmlformats.org/officeDocument/2006/relationships/hyperlink" Target="https://drive.google.com/file/d/1EJ9d3xUBpV6Pe27m7mLEkegOfeXLKQwQ/view?usp=drivesdk" TargetMode="External"/><Relationship Id="rId34" Type="http://schemas.openxmlformats.org/officeDocument/2006/relationships/hyperlink" Target="https://drive.google.com/file/d/1PuLHl5UfEC558pBz-CPIJzb3idJpVhNT/view?usp=drivesdk" TargetMode="External"/><Relationship Id="rId37" Type="http://schemas.openxmlformats.org/officeDocument/2006/relationships/hyperlink" Target="https://drive.google.com/file/d/1zWpL7nFgtPQeot6jNZ7OIHtJS0WlH5ov/view?usp=drivesdk" TargetMode="External"/><Relationship Id="rId36" Type="http://schemas.openxmlformats.org/officeDocument/2006/relationships/hyperlink" Target="https://drive.google.com/file/d/1W1s0UGYXGyDGaF15VWoVQPUthx0P6BQV/view?usp=drivesdk" TargetMode="External"/><Relationship Id="rId39" Type="http://schemas.openxmlformats.org/officeDocument/2006/relationships/hyperlink" Target="https://drive.google.com/file/d/1tqg56ZGG39ZZ1K_seOhHNdssuFT5sqFO/view?usp=drivesdk" TargetMode="External"/><Relationship Id="rId38" Type="http://schemas.openxmlformats.org/officeDocument/2006/relationships/hyperlink" Target="https://drive.google.com/file/d/1nMoZWaJNl321J7t_P5hfLfAe7V58PrKG/view?usp=drivesdk" TargetMode="External"/><Relationship Id="rId20" Type="http://schemas.openxmlformats.org/officeDocument/2006/relationships/hyperlink" Target="https://drive.google.com/file/d/1eAL6qGcUmFCr7a40zbs4HIo7dgTVMGVf/view?usp=drivesdk" TargetMode="External"/><Relationship Id="rId22" Type="http://schemas.openxmlformats.org/officeDocument/2006/relationships/hyperlink" Target="https://drive.google.com/file/d/1KWuVp_CGUg6woEUb_3pjXNgu7swB_yiD/view?usp=drivesdk" TargetMode="External"/><Relationship Id="rId21" Type="http://schemas.openxmlformats.org/officeDocument/2006/relationships/hyperlink" Target="https://drive.google.com/file/d/1LMxsC8EoWjmxCCiUfgFW_PnIXV0DhmyG/view?usp=drivesdk" TargetMode="External"/><Relationship Id="rId24" Type="http://schemas.openxmlformats.org/officeDocument/2006/relationships/hyperlink" Target="https://drive.google.com/file/d/1Gw2w0uDLVcY_KkSf-MT7rtmYfbCM39iB/view?usp=drivesdk" TargetMode="External"/><Relationship Id="rId23" Type="http://schemas.openxmlformats.org/officeDocument/2006/relationships/hyperlink" Target="https://drive.google.com/file/d/1vCg7IjM4j-VtLnxNAw1iw9ps7XtcpFye/view?usp=drivesdk" TargetMode="External"/><Relationship Id="rId129" Type="http://schemas.openxmlformats.org/officeDocument/2006/relationships/hyperlink" Target="https://drive.google.com/file/d/1aUb4b7TOQL0NIO3IYHs204MWccA0oabH/view?usp=drivesdk" TargetMode="External"/><Relationship Id="rId128" Type="http://schemas.openxmlformats.org/officeDocument/2006/relationships/hyperlink" Target="https://drive.google.com/file/d/1sELlbEILeNgxmSU9xyHGkzRrIjckLiqz/view?usp=drivesdk" TargetMode="External"/><Relationship Id="rId127" Type="http://schemas.openxmlformats.org/officeDocument/2006/relationships/hyperlink" Target="https://drive.google.com/file/d/1dtrcsbUdkm-ISmiBOTAnLPPvridriERZ/view?usp=drivesdk" TargetMode="External"/><Relationship Id="rId126" Type="http://schemas.openxmlformats.org/officeDocument/2006/relationships/hyperlink" Target="https://drive.google.com/file/d/1oxdRT4WF0-ovYEmqYZYJkDsPHu_9zf0v/view?usp=drivesdk" TargetMode="External"/><Relationship Id="rId26" Type="http://schemas.openxmlformats.org/officeDocument/2006/relationships/hyperlink" Target="https://drive.google.com/file/d/1EmV2uID1kM-urv4tHJkDQDTgMr_SFOA8/view?usp=drivesdk" TargetMode="External"/><Relationship Id="rId121" Type="http://schemas.openxmlformats.org/officeDocument/2006/relationships/hyperlink" Target="https://drive.google.com/file/d/1xPa7EC47KKbp_a7TNYNh91n_ujrkWeeW/view?usp=drivesdk" TargetMode="External"/><Relationship Id="rId25" Type="http://schemas.openxmlformats.org/officeDocument/2006/relationships/hyperlink" Target="https://drive.google.com/file/d/1Du0Y5USrE3tenMeFJ3hhDO7A2MyRv1hG/view?usp=drivesdk" TargetMode="External"/><Relationship Id="rId120" Type="http://schemas.openxmlformats.org/officeDocument/2006/relationships/hyperlink" Target="https://drive.google.com/file/d/1UV4xpDqsyQLuTyZNLaXjDVn80nhUlKwB/view?usp=drivesdk" TargetMode="External"/><Relationship Id="rId28" Type="http://schemas.openxmlformats.org/officeDocument/2006/relationships/hyperlink" Target="https://drive.google.com/file/d/1aZOTuYlAPGczP1zWZZB9ro0Ru_or_5ND/view?usp=drivesdk" TargetMode="External"/><Relationship Id="rId27" Type="http://schemas.openxmlformats.org/officeDocument/2006/relationships/hyperlink" Target="https://drive.google.com/file/d/1_nVlyuw4mUxVMeG-4OfzB39uU4QW1AvY/view?usp=drivesdk" TargetMode="External"/><Relationship Id="rId125" Type="http://schemas.openxmlformats.org/officeDocument/2006/relationships/hyperlink" Target="https://drive.google.com/file/d/1i0eqD7NSGOJ13NC7ILPHhJnjXT_hvmI0/view?usp=drivesdk" TargetMode="External"/><Relationship Id="rId29" Type="http://schemas.openxmlformats.org/officeDocument/2006/relationships/hyperlink" Target="https://drive.google.com/file/d/1lBgpgn_7rfhaAZ8R-Chl-xCX2JUFJJpA/view?usp=drivesdk" TargetMode="External"/><Relationship Id="rId124" Type="http://schemas.openxmlformats.org/officeDocument/2006/relationships/hyperlink" Target="https://drive.google.com/file/d/1_ma1Pg4lO9GZ218bIHr0h4G_IfnbDZ3D/view?usp=drivesdk" TargetMode="External"/><Relationship Id="rId123" Type="http://schemas.openxmlformats.org/officeDocument/2006/relationships/hyperlink" Target="https://drive.google.com/file/d/1p23nSB1cRaO_vYfqryCPJJo2ZDgt5P-a/view?usp=drivesdk" TargetMode="External"/><Relationship Id="rId122" Type="http://schemas.openxmlformats.org/officeDocument/2006/relationships/hyperlink" Target="https://drive.google.com/file/d/1fi-O46f-evjBqfO297BfBa2aluoSipec/view?usp=drivesdk" TargetMode="External"/><Relationship Id="rId95" Type="http://schemas.openxmlformats.org/officeDocument/2006/relationships/hyperlink" Target="https://drive.google.com/file/d/1i9IWg58cRAHLh_zQdNHUeve4FdalRyC0/view?usp=drivesdk" TargetMode="External"/><Relationship Id="rId94" Type="http://schemas.openxmlformats.org/officeDocument/2006/relationships/hyperlink" Target="https://drive.google.com/file/d/1CY9VQvi3gbms8pLrO9i8JM9YQS0w1EEM/view?usp=drivesdk" TargetMode="External"/><Relationship Id="rId97" Type="http://schemas.openxmlformats.org/officeDocument/2006/relationships/hyperlink" Target="https://drive.google.com/file/d/1Yso3T6VnJ8Gldp2PLqwMvmJxGdWpsnsb/view?usp=drivesdk" TargetMode="External"/><Relationship Id="rId96" Type="http://schemas.openxmlformats.org/officeDocument/2006/relationships/hyperlink" Target="https://drive.google.com/file/d/1PUfFMMc9mzkMGyppCQjpCBrRutj7h70w/view?usp=drivesdk" TargetMode="External"/><Relationship Id="rId11" Type="http://schemas.openxmlformats.org/officeDocument/2006/relationships/hyperlink" Target="https://drive.google.com/file/d/18mbQJ34IgPjyPTYprHIBlBZBK_lIETZZ/view?usp=drivesdk" TargetMode="External"/><Relationship Id="rId99" Type="http://schemas.openxmlformats.org/officeDocument/2006/relationships/hyperlink" Target="https://drive.google.com/file/d/1eCLenSR1kHkSCQL1t6RrPHq3WtlAy39A/view?usp=drivesdk" TargetMode="External"/><Relationship Id="rId10" Type="http://schemas.openxmlformats.org/officeDocument/2006/relationships/hyperlink" Target="https://docs.google.com/spreadsheets/d/1nG75OID3lR6GaIjGYcvM5Th1MYNQSYExRI5e7rLR8G4/edit?usp=sharing" TargetMode="External"/><Relationship Id="rId98" Type="http://schemas.openxmlformats.org/officeDocument/2006/relationships/hyperlink" Target="https://drive.google.com/file/d/1SFSEPrvupnTHlqU2CPw_XAVYiyX2E0os/view?usp=drivesdk" TargetMode="External"/><Relationship Id="rId13" Type="http://schemas.openxmlformats.org/officeDocument/2006/relationships/hyperlink" Target="https://drive.google.com/file/d/1oOnyGXeXoXKrNIuqHafEmSSaZKkRzgUS/view?usp=drivesdk" TargetMode="External"/><Relationship Id="rId12" Type="http://schemas.openxmlformats.org/officeDocument/2006/relationships/hyperlink" Target="https://drive.google.com/file/d/19ZnHJ9lerPnyc5mB7DTyuLt-FLN_QWVF/view?usp=drivesdk" TargetMode="External"/><Relationship Id="rId91" Type="http://schemas.openxmlformats.org/officeDocument/2006/relationships/hyperlink" Target="https://drive.google.com/file/d/1FCv0VeAzQUfsRoradFch0G3_mNczJmf8/view?usp=drivesdk" TargetMode="External"/><Relationship Id="rId90" Type="http://schemas.openxmlformats.org/officeDocument/2006/relationships/hyperlink" Target="https://drive.google.com/file/d/11LkAza_A2nLQhj4z6NtpdBIy5da5-n-_/view?usp=drivesdk" TargetMode="External"/><Relationship Id="rId93" Type="http://schemas.openxmlformats.org/officeDocument/2006/relationships/hyperlink" Target="https://drive.google.com/file/d/12qh_QxqJmuo3jH6MbijFbhxvigVWhjuq/view?usp=drivesdk" TargetMode="External"/><Relationship Id="rId92" Type="http://schemas.openxmlformats.org/officeDocument/2006/relationships/hyperlink" Target="https://drive.google.com/file/d/1ljVuD47LDYM1Y9zK4ov5WM_yaJ8aXUiO/view?usp=drivesdk" TargetMode="External"/><Relationship Id="rId118" Type="http://schemas.openxmlformats.org/officeDocument/2006/relationships/hyperlink" Target="https://drive.google.com/file/d/1AQxcoTDM7RNxauZqAkVF8KhgP3eNk_QB/view?usp=drivesdk" TargetMode="External"/><Relationship Id="rId117" Type="http://schemas.openxmlformats.org/officeDocument/2006/relationships/hyperlink" Target="https://drive.google.com/file/d/1iX1VgrLe_AYib39-hSkkFMaTmWT1OaRn/view?usp=drivesdk" TargetMode="External"/><Relationship Id="rId116" Type="http://schemas.openxmlformats.org/officeDocument/2006/relationships/hyperlink" Target="https://drive.google.com/file/d/1il9aeZ1fp8h2dbq9aqKpXTQEc7YKB6WA/view?usp=drivesdk" TargetMode="External"/><Relationship Id="rId115" Type="http://schemas.openxmlformats.org/officeDocument/2006/relationships/hyperlink" Target="https://drive.google.com/file/d/12-mkhELBm4eXASWh2N32zNH2EH6p4-br/view?usp=drivesdk" TargetMode="External"/><Relationship Id="rId119" Type="http://schemas.openxmlformats.org/officeDocument/2006/relationships/hyperlink" Target="https://drive.google.com/file/d/16d8nDarn3n9AZxpeghXWGJN9wYvgqgVV/view?usp=drivesdk" TargetMode="External"/><Relationship Id="rId15" Type="http://schemas.openxmlformats.org/officeDocument/2006/relationships/hyperlink" Target="https://drive.google.com/file/d/1Kqn4wUTTgnQk6aBtPcgSb4mTNU2qPqud/view?usp=drivesdk" TargetMode="External"/><Relationship Id="rId110" Type="http://schemas.openxmlformats.org/officeDocument/2006/relationships/hyperlink" Target="https://drive.google.com/file/d/137sLOKNB-ex_RxXr6jln-RboSSKAouDK/view?usp=drivesdk" TargetMode="External"/><Relationship Id="rId14" Type="http://schemas.openxmlformats.org/officeDocument/2006/relationships/hyperlink" Target="https://drive.google.com/drive/folders/1Q7K5x1ikcfvehbx2WAGjuTUAsUQdNI3d?usp=drive_link" TargetMode="External"/><Relationship Id="rId17" Type="http://schemas.openxmlformats.org/officeDocument/2006/relationships/hyperlink" Target="https://drive.google.com/file/d/1V46lkaevxowm7i383cQEaXb5pvpn6CGI/view?usp=drivesdk" TargetMode="External"/><Relationship Id="rId16" Type="http://schemas.openxmlformats.org/officeDocument/2006/relationships/hyperlink" Target="https://drive.google.com/file/d/11Thgeqzfi64B1BxZNgV78wJy7IfBVNcC/view?usp=drivesdk" TargetMode="External"/><Relationship Id="rId19" Type="http://schemas.openxmlformats.org/officeDocument/2006/relationships/hyperlink" Target="https://drive.google.com/file/d/1OhWLyzO9CTPDmauPhFnH3GQ5fUpEpkxc/view?usp=drivesdk" TargetMode="External"/><Relationship Id="rId114" Type="http://schemas.openxmlformats.org/officeDocument/2006/relationships/hyperlink" Target="https://drive.google.com/file/d/1p74Qu0LOd8AE3lvZnlZiQNAgHKV9HL6r/view?usp=drivesdk" TargetMode="External"/><Relationship Id="rId18" Type="http://schemas.openxmlformats.org/officeDocument/2006/relationships/hyperlink" Target="https://drive.google.com/file/d/1TWSJFmVvGJ0HenweklyZ1UNOsm_k9Rni/view?usp=drivesdk" TargetMode="External"/><Relationship Id="rId113" Type="http://schemas.openxmlformats.org/officeDocument/2006/relationships/hyperlink" Target="https://drive.google.com/file/d/137sLOKNB-ex_RxXr6jln-RboSSKAouDK/view?usp=drivesdk" TargetMode="External"/><Relationship Id="rId112" Type="http://schemas.openxmlformats.org/officeDocument/2006/relationships/hyperlink" Target="https://drive.google.com/file/d/1mtZThnwb1xCGjx4LmFXyeMedJBXRqP7A/view?usp=drivesdk" TargetMode="External"/><Relationship Id="rId111" Type="http://schemas.openxmlformats.org/officeDocument/2006/relationships/hyperlink" Target="https://drive.google.com/file/d/1p74Qu0LOd8AE3lvZnlZiQNAgHKV9HL6r/view?usp=drivesdk" TargetMode="External"/><Relationship Id="rId84" Type="http://schemas.openxmlformats.org/officeDocument/2006/relationships/hyperlink" Target="https://drive.google.com/file/d/1rsWc6-SA91V2ObuNbBCLzDowzuCXOxVU/view?usp=drivesdk" TargetMode="External"/><Relationship Id="rId83" Type="http://schemas.openxmlformats.org/officeDocument/2006/relationships/hyperlink" Target="https://drive.google.com/file/d/1nL9PqYwDzNY100YymL3Z-WadPmdUwEh6/view?usp=drivesdk" TargetMode="External"/><Relationship Id="rId86" Type="http://schemas.openxmlformats.org/officeDocument/2006/relationships/hyperlink" Target="https://drive.google.com/file/d/1owVfY5CUFBG1mnTHCD_L0qidMURXa8Wy/view?usp=drivesdk" TargetMode="External"/><Relationship Id="rId85" Type="http://schemas.openxmlformats.org/officeDocument/2006/relationships/hyperlink" Target="https://drive.google.com/file/d/1YRISNc1j50SCuipERdrnK5c_grcyvUem/view?usp=drivesdk" TargetMode="External"/><Relationship Id="rId88" Type="http://schemas.openxmlformats.org/officeDocument/2006/relationships/hyperlink" Target="https://drive.google.com/file/d/1BVXE5Xd6nXomiVhYsc2Ym59NPfrJHxLd/view?usp=drivesdk" TargetMode="External"/><Relationship Id="rId87" Type="http://schemas.openxmlformats.org/officeDocument/2006/relationships/hyperlink" Target="https://drive.google.com/file/d/1wOlyKez7EFbavrHGDNo6O6M8sV8a6uCo/view?usp=drivesdk" TargetMode="External"/><Relationship Id="rId89" Type="http://schemas.openxmlformats.org/officeDocument/2006/relationships/hyperlink" Target="https://drive.google.com/file/d/1-XnsIZOZYjGPnLcB_NZhGwGDcm5vOk6b/view?usp=drivesdk" TargetMode="External"/><Relationship Id="rId80" Type="http://schemas.openxmlformats.org/officeDocument/2006/relationships/hyperlink" Target="https://drive.google.com/file/d/1PD0RsprAbCyFNvlAvT9ZTMqx9YXGHHLG/view?usp=drivesdk" TargetMode="External"/><Relationship Id="rId82" Type="http://schemas.openxmlformats.org/officeDocument/2006/relationships/hyperlink" Target="https://drive.google.com/file/d/10wgDLTyS14LEer9FLtk2UyWq7YnMTV99/view?usp=drivesdk" TargetMode="External"/><Relationship Id="rId81" Type="http://schemas.openxmlformats.org/officeDocument/2006/relationships/hyperlink" Target="https://drive.google.com/file/d/13d8BvIGVism0PGc1IOHf5H6WSXjr3LIO/view?usp=drivesdk" TargetMode="External"/><Relationship Id="rId1" Type="http://schemas.openxmlformats.org/officeDocument/2006/relationships/hyperlink" Target="https://drive.google.com/drive/folders/1VNq-zESITqjUwXb8-Sr14WeQ9grVcuKa?usp=sharing" TargetMode="External"/><Relationship Id="rId2" Type="http://schemas.openxmlformats.org/officeDocument/2006/relationships/hyperlink" Target="https://drive.google.com/drive/folders/1Y05jXVAZJrBEx_4wwK1bUlKR_fLI7vzq?usp=sharing" TargetMode="External"/><Relationship Id="rId3" Type="http://schemas.openxmlformats.org/officeDocument/2006/relationships/hyperlink" Target="https://drive.google.com/file/d/1ZFUcf6p0DgVOsfOM7cW-dM7Iade-xfDW/view?usp=drivesdk" TargetMode="External"/><Relationship Id="rId149" Type="http://schemas.openxmlformats.org/officeDocument/2006/relationships/drawing" Target="../drawings/drawing1.xml"/><Relationship Id="rId4" Type="http://schemas.openxmlformats.org/officeDocument/2006/relationships/hyperlink" Target="https://drive.google.com/drive/folders/190TlH142n01TIMLKLm0oHOnHqN6b1QLJ?usp=sharing" TargetMode="External"/><Relationship Id="rId148" Type="http://schemas.openxmlformats.org/officeDocument/2006/relationships/hyperlink" Target="https://drive.google.com/file/d/15e5qO2-Uu_PKKki8texEzJR_NkAxDlt3/view?usp=drivesdk" TargetMode="External"/><Relationship Id="rId9" Type="http://schemas.openxmlformats.org/officeDocument/2006/relationships/hyperlink" Target="https://drive.google.com/file/d/1nDq7pfwtVf5j9924MCxu2YDsbBqvnVa0/view?usp=drivesdk" TargetMode="External"/><Relationship Id="rId143" Type="http://schemas.openxmlformats.org/officeDocument/2006/relationships/hyperlink" Target="https://drive.google.com/file/d/1BgSREWJswpl-QAcmZo8T1SJWEGrpQ1XS/view?usp=drivesdk" TargetMode="External"/><Relationship Id="rId142" Type="http://schemas.openxmlformats.org/officeDocument/2006/relationships/hyperlink" Target="https://drive.google.com/file/d/1oOnyGXeXoXKrNIuqHafEmSSaZKkRzgUS/view?usp=drivesdk" TargetMode="External"/><Relationship Id="rId141" Type="http://schemas.openxmlformats.org/officeDocument/2006/relationships/hyperlink" Target="https://drive.google.com/file/d/19ZnHJ9lerPnyc5mB7DTyuLt-FLN_QWVF/view?usp=drivesdk" TargetMode="External"/><Relationship Id="rId140" Type="http://schemas.openxmlformats.org/officeDocument/2006/relationships/hyperlink" Target="https://drive.google.com/file/d/1u2VKVqzYs2vJECj78XqUE3aaQ7S9pdpt/view?usp=drivesdk" TargetMode="External"/><Relationship Id="rId5" Type="http://schemas.openxmlformats.org/officeDocument/2006/relationships/hyperlink" Target="https://drive.google.com/file/d/1KMrRNa_ycmsWkJAcCkLu4RZQHPh2pJQt/view?usp=drivesdk" TargetMode="External"/><Relationship Id="rId147" Type="http://schemas.openxmlformats.org/officeDocument/2006/relationships/hyperlink" Target="https://drive.google.com/file/d/1KnDVFPPRcK4zqBy5yfR3a7UaSbziiunz/view?usp=drivesdk" TargetMode="External"/><Relationship Id="rId6" Type="http://schemas.openxmlformats.org/officeDocument/2006/relationships/hyperlink" Target="https://drive.google.com/file/d/1R__xp8_dTVJXL2pAOX3wDQ7xCcclToLO/view?usp=drivesdk" TargetMode="External"/><Relationship Id="rId146" Type="http://schemas.openxmlformats.org/officeDocument/2006/relationships/hyperlink" Target="https://drive.google.com/file/d/1EbD6x7KNTLVkSQplNCeduP1d7t5lMvAV/view?usp=drivesdk" TargetMode="External"/><Relationship Id="rId7" Type="http://schemas.openxmlformats.org/officeDocument/2006/relationships/hyperlink" Target="https://drive.google.com/drive/folders/152fqS1lavzU3SywEVhUiZCkXAOKQsymL?usp=sharing" TargetMode="External"/><Relationship Id="rId145" Type="http://schemas.openxmlformats.org/officeDocument/2006/relationships/hyperlink" Target="https://drive.google.com/file/d/12VIXvd-geCcIgyyh2kUi4I6VEbTOIufc/view?usp=drivesdk" TargetMode="External"/><Relationship Id="rId8" Type="http://schemas.openxmlformats.org/officeDocument/2006/relationships/hyperlink" Target="https://drive.google.com/file/d/1bNtn-QSUAw5p5SbyWezC8LTmOc8u--_6/view?usp=drivesdk" TargetMode="External"/><Relationship Id="rId144" Type="http://schemas.openxmlformats.org/officeDocument/2006/relationships/hyperlink" Target="https://drive.google.com/file/d/1FwB-aNee-Jk7cJkCrHiG5TW4R4-zYCQQ/view?usp=drivesdk" TargetMode="External"/><Relationship Id="rId73" Type="http://schemas.openxmlformats.org/officeDocument/2006/relationships/hyperlink" Target="https://drive.google.com/file/d/1gMrYPoaSTewYybryTOoa0emrV7bO5k8S/view?usp=drivesdk" TargetMode="External"/><Relationship Id="rId72" Type="http://schemas.openxmlformats.org/officeDocument/2006/relationships/hyperlink" Target="https://drive.google.com/file/d/1IJBD_FYzRlZr81TocaFiWwTsJihchpVM/view?usp=drivesdk" TargetMode="External"/><Relationship Id="rId75" Type="http://schemas.openxmlformats.org/officeDocument/2006/relationships/hyperlink" Target="https://drive.google.com/file/d/1lcDn10j7oxAF0sqrLtMRV2AcRtWDu016/view?usp=drivesdk" TargetMode="External"/><Relationship Id="rId74" Type="http://schemas.openxmlformats.org/officeDocument/2006/relationships/hyperlink" Target="https://drive.google.com/file/d/1EjrGCnrWJhgn8ANe0mgW9q2MNPQIboG6/view?usp=drivesdk" TargetMode="External"/><Relationship Id="rId77" Type="http://schemas.openxmlformats.org/officeDocument/2006/relationships/hyperlink" Target="https://drive.google.com/file/d/1VX7qYoM7G-SmR4HkT95_x6k-X7VDu4Zn/view?usp=drivesdk" TargetMode="External"/><Relationship Id="rId76" Type="http://schemas.openxmlformats.org/officeDocument/2006/relationships/hyperlink" Target="https://drive.google.com/file/d/1YgRgGiBO25xUGNwjUq5Z9bi22zTb1WTG/view?usp=drivesdk" TargetMode="External"/><Relationship Id="rId79" Type="http://schemas.openxmlformats.org/officeDocument/2006/relationships/hyperlink" Target="https://drive.google.com/file/d/10udrWeeI02aBiLcC7Q-E43-qAfMdYJdU/view?usp=drivesdk" TargetMode="External"/><Relationship Id="rId78" Type="http://schemas.openxmlformats.org/officeDocument/2006/relationships/hyperlink" Target="https://drive.google.com/file/d/1rBn_GBMUSq8wUaTDEKPOKarTrCb5KqAr/view?usp=drivesdk" TargetMode="External"/><Relationship Id="rId71" Type="http://schemas.openxmlformats.org/officeDocument/2006/relationships/hyperlink" Target="https://drive.google.com/file/d/11MBaPy7H1ZU4XdMu__evscBc8rdlY3yx/view?usp=drivesdk" TargetMode="External"/><Relationship Id="rId70" Type="http://schemas.openxmlformats.org/officeDocument/2006/relationships/hyperlink" Target="https://drive.google.com/file/d/1V-MxWOHVr-dNz7D7T12TNEtJzdiLZ-Aq/view?usp=drivesdk" TargetMode="External"/><Relationship Id="rId139" Type="http://schemas.openxmlformats.org/officeDocument/2006/relationships/hyperlink" Target="https://drive.google.com/file/d/1t7Qo52fcBImPLT3KSSYbM1Posmrbw4JE/view?usp=drivesdk" TargetMode="External"/><Relationship Id="rId138" Type="http://schemas.openxmlformats.org/officeDocument/2006/relationships/hyperlink" Target="https://drive.google.com/file/d/1iVTJTVgOYn4eC9LvOKhXDp654pKQmk1M/view?usp=drivesdk" TargetMode="External"/><Relationship Id="rId137" Type="http://schemas.openxmlformats.org/officeDocument/2006/relationships/hyperlink" Target="https://drive.google.com/file/d/13Dcz5yOTVFzNIAJ3ewlN0mVmjtqYDHHi/view?usp=drivesdk" TargetMode="External"/><Relationship Id="rId132" Type="http://schemas.openxmlformats.org/officeDocument/2006/relationships/hyperlink" Target="https://drive.google.com/file/d/1ZTZ0PFTGjT-lHE2ZeVOzyQLC9YrapAeM/view?usp=drivesdk" TargetMode="External"/><Relationship Id="rId131" Type="http://schemas.openxmlformats.org/officeDocument/2006/relationships/hyperlink" Target="https://drive.google.com/file/d/1z_pmC7x76p6AkIXibyCNKM6L45P_0kCu/view?usp=drivesdk" TargetMode="External"/><Relationship Id="rId130" Type="http://schemas.openxmlformats.org/officeDocument/2006/relationships/hyperlink" Target="https://drive.google.com/file/d/1QEGVL8Y9eLRkalEDR9mLMU2or-8gLqIm/view?usp=drivesdk" TargetMode="External"/><Relationship Id="rId136" Type="http://schemas.openxmlformats.org/officeDocument/2006/relationships/hyperlink" Target="https://drive.google.com/file/d/1ktqzvlQHLdev0jUYNOG-wmTXK9CixonE/view?usp=drivesdk" TargetMode="External"/><Relationship Id="rId135" Type="http://schemas.openxmlformats.org/officeDocument/2006/relationships/hyperlink" Target="https://drive.google.com/file/d/1xo-UQTKNApWwae4yccHaRN0h9_JdwPNi/view?usp=drivesdk" TargetMode="External"/><Relationship Id="rId134" Type="http://schemas.openxmlformats.org/officeDocument/2006/relationships/hyperlink" Target="https://drive.google.com/file/d/10Fg7efGfItOkV142fsz84su1m7--vMXG/view?usp=drivesdk" TargetMode="External"/><Relationship Id="rId133" Type="http://schemas.openxmlformats.org/officeDocument/2006/relationships/hyperlink" Target="https://drive.google.com/file/d/17lNbHnevJvbNOQg9ypabWghSsrAXltNK/view?usp=drivesdk" TargetMode="External"/><Relationship Id="rId62" Type="http://schemas.openxmlformats.org/officeDocument/2006/relationships/hyperlink" Target="https://drive.google.com/file/d/15drJ3dkCokENTm4fY0MXFGNtoWorE7zj/view?usp=drivesdk" TargetMode="External"/><Relationship Id="rId61" Type="http://schemas.openxmlformats.org/officeDocument/2006/relationships/hyperlink" Target="https://drive.google.com/file/d/1RgNyIEu9jXFjZs2Uf00as476WbnL0MkX/view?usp=drivesdk" TargetMode="External"/><Relationship Id="rId64" Type="http://schemas.openxmlformats.org/officeDocument/2006/relationships/hyperlink" Target="https://drive.google.com/file/d/14s0nVWbh4jO3iwSRCOG5WGlRVZeRv1dk/view?usp=drivesdk" TargetMode="External"/><Relationship Id="rId63" Type="http://schemas.openxmlformats.org/officeDocument/2006/relationships/hyperlink" Target="https://drive.google.com/file/d/1xgrkTgC24OAUygRRYwrzXwdPNolmXJvP/view?usp=drivesdk" TargetMode="External"/><Relationship Id="rId66" Type="http://schemas.openxmlformats.org/officeDocument/2006/relationships/hyperlink" Target="https://drive.google.com/file/d/1izJ1BU1Dkr4UeuWXPxWKmC3UtbYUxbp0/view?usp=drivesdk" TargetMode="External"/><Relationship Id="rId65" Type="http://schemas.openxmlformats.org/officeDocument/2006/relationships/hyperlink" Target="https://drive.google.com/file/d/1Ndmr1jG1KR-hNUvR4kTOT3hwjPvwTpNB/view?usp=drivesdk" TargetMode="External"/><Relationship Id="rId68" Type="http://schemas.openxmlformats.org/officeDocument/2006/relationships/hyperlink" Target="https://drive.google.com/file/d/1ggGLHcaS2A7u16t6yF92mEIp8ek0kbF8/view?usp=drivesdk" TargetMode="External"/><Relationship Id="rId67" Type="http://schemas.openxmlformats.org/officeDocument/2006/relationships/hyperlink" Target="https://drive.google.com/file/d/10y9VkZLKJuldJRDVZK55jmTrP4Z5Il5C/view?usp=drivesdk" TargetMode="External"/><Relationship Id="rId60" Type="http://schemas.openxmlformats.org/officeDocument/2006/relationships/hyperlink" Target="https://drive.google.com/file/d/1dvcw7ENpZSluWvl6hWYb6nXymVQrk9k_/view?usp=drivesdk" TargetMode="External"/><Relationship Id="rId69" Type="http://schemas.openxmlformats.org/officeDocument/2006/relationships/hyperlink" Target="https://drive.google.com/file/d/1_Eb7Nsr265CSQu505YOrBb33D3lHOfon/view?usp=drivesdk" TargetMode="External"/><Relationship Id="rId51" Type="http://schemas.openxmlformats.org/officeDocument/2006/relationships/hyperlink" Target="https://drive.google.com/file/d/1rtdKBUNsQUKibA16zk5O_Ut7DlohGl7B/view?usp=drivesdk" TargetMode="External"/><Relationship Id="rId50" Type="http://schemas.openxmlformats.org/officeDocument/2006/relationships/hyperlink" Target="https://drive.google.com/file/d/15wPMAgHby5rfcww2JYpRJxsMid9gx0C2/view?usp=drivesdk" TargetMode="External"/><Relationship Id="rId53" Type="http://schemas.openxmlformats.org/officeDocument/2006/relationships/hyperlink" Target="https://drive.google.com/file/d/1MFKUcLnJ6Y0TZCzfOBcXfyj5LcwZYQXm/view?usp=drivesdk" TargetMode="External"/><Relationship Id="rId52" Type="http://schemas.openxmlformats.org/officeDocument/2006/relationships/hyperlink" Target="https://drive.google.com/file/d/1r5oydXGBbCvokYHZAOvFHqJjMZ4DhL5Z/view?usp=drivesdk" TargetMode="External"/><Relationship Id="rId55" Type="http://schemas.openxmlformats.org/officeDocument/2006/relationships/hyperlink" Target="https://drive.google.com/file/d/19ZnHJ9lerPnyc5mB7DTyuLt-FLN_QWVF/view?usp=drivesdk" TargetMode="External"/><Relationship Id="rId54" Type="http://schemas.openxmlformats.org/officeDocument/2006/relationships/hyperlink" Target="https://drive.google.com/file/d/1brv1g9w9bC7R3g97LRUH3I64-4Td2XNQ/view?usp=drivesdk" TargetMode="External"/><Relationship Id="rId57" Type="http://schemas.openxmlformats.org/officeDocument/2006/relationships/hyperlink" Target="https://drive.google.com/file/d/1jSsKlR0Xl2invbrA-F_r-mkOTOnvZXOo/view?usp=drivesdk" TargetMode="External"/><Relationship Id="rId56" Type="http://schemas.openxmlformats.org/officeDocument/2006/relationships/hyperlink" Target="https://drive.google.com/file/d/1oOnyGXeXoXKrNIuqHafEmSSaZKkRzgUS/view?usp=drivesdk" TargetMode="External"/><Relationship Id="rId59" Type="http://schemas.openxmlformats.org/officeDocument/2006/relationships/hyperlink" Target="https://drive.google.com/file/d/1qCEcxHEGYRBa6IvBXWDkPXsAr3EMQvjr/view?usp=drivesdk" TargetMode="External"/><Relationship Id="rId58" Type="http://schemas.openxmlformats.org/officeDocument/2006/relationships/hyperlink" Target="https://drive.google.com/file/d/1bfq7t28fXm90WVcLYLcGT8D3I686Gj5f/view?usp=drivesd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3d8BvIGVism0PGc1IOHf5H6WSXjr3LIO/view?usp=drivesdk" TargetMode="External"/><Relationship Id="rId42" Type="http://schemas.openxmlformats.org/officeDocument/2006/relationships/hyperlink" Target="https://drive.google.com/file/d/1z_pmC7x76p6AkIXibyCNKM6L45P_0kCu/view?usp=drivesdk" TargetMode="External"/><Relationship Id="rId41" Type="http://schemas.openxmlformats.org/officeDocument/2006/relationships/hyperlink" Target="https://drive.google.com/file/d/1sELlbEILeNgxmSU9xyHGkzRrIjckLiqz/view?usp=drivesdk" TargetMode="External"/><Relationship Id="rId44" Type="http://schemas.openxmlformats.org/officeDocument/2006/relationships/hyperlink" Target="https://drive.google.com/file/d/1QKItw_PdkBqEbrB3lly1jp_xUQNKjhyu/view?usp=drivesdk" TargetMode="External"/><Relationship Id="rId43" Type="http://schemas.openxmlformats.org/officeDocument/2006/relationships/hyperlink" Target="https://drive.google.com/file/d/12t8nNdKx5Wc6tEi7F7hy18kpqw5JN1mn/view?usp=drivesdk" TargetMode="External"/><Relationship Id="rId46" Type="http://schemas.openxmlformats.org/officeDocument/2006/relationships/hyperlink" Target="https://drive.google.com/file/d/1wOlyKez7EFbavrHGDNo6O6M8sV8a6uCo/view?usp=drivesdk" TargetMode="External"/><Relationship Id="rId45" Type="http://schemas.openxmlformats.org/officeDocument/2006/relationships/hyperlink" Target="https://drive.google.com/file/d/1nL9PqYwDzNY100YymL3Z-WadPmdUwEh6/view?usp=drivesdk" TargetMode="External"/><Relationship Id="rId48" Type="http://schemas.openxmlformats.org/officeDocument/2006/relationships/hyperlink" Target="https://drive.google.com/file/d/1xo-UQTKNApWwae4yccHaRN0h9_JdwPNi/view?usp=drivesdk" TargetMode="External"/><Relationship Id="rId47" Type="http://schemas.openxmlformats.org/officeDocument/2006/relationships/hyperlink" Target="https://drive.google.com/file/d/11LkAza_A2nLQhj4z6NtpdBIy5da5-n-_/view?usp=drivesdk" TargetMode="External"/><Relationship Id="rId49" Type="http://schemas.openxmlformats.org/officeDocument/2006/relationships/hyperlink" Target="https://drive.google.com/file/d/1iVTJTVgOYn4eC9LvOKhXDp654pKQmk1M/view?usp=drivesdk" TargetMode="External"/><Relationship Id="rId31" Type="http://schemas.openxmlformats.org/officeDocument/2006/relationships/hyperlink" Target="https://drive.google.com/file/d/11MBaPy7H1ZU4XdMu__evscBc8rdlY3yx/view?usp=drivesdk" TargetMode="External"/><Relationship Id="rId30" Type="http://schemas.openxmlformats.org/officeDocument/2006/relationships/hyperlink" Target="https://drive.google.com/file/d/1T4XnEpZsk5aTySAXW7LuqFWuo3Z1udcO/view?usp=drivesdk" TargetMode="External"/><Relationship Id="rId33" Type="http://schemas.openxmlformats.org/officeDocument/2006/relationships/hyperlink" Target="https://drive.google.com/file/d/1YgRgGiBO25xUGNwjUq5Z9bi22zTb1WTG/view?usp=drivesdk" TargetMode="External"/><Relationship Id="rId32" Type="http://schemas.openxmlformats.org/officeDocument/2006/relationships/hyperlink" Target="https://drive.google.com/file/d/1EjrGCnrWJhgn8ANe0mgW9q2MNPQIboG6/view?usp=drivesdk" TargetMode="External"/><Relationship Id="rId35" Type="http://schemas.openxmlformats.org/officeDocument/2006/relationships/hyperlink" Target="https://drive.google.com/file/d/1AQxcoTDM7RNxauZqAkVF8KhgP3eNk_QB/view?usp=drivesdk" TargetMode="External"/><Relationship Id="rId34" Type="http://schemas.openxmlformats.org/officeDocument/2006/relationships/hyperlink" Target="https://drive.google.com/file/d/13wMFlvs3329k8YAfcXdh3Gwh34XGvtQU/view?usp=drivesdk" TargetMode="External"/><Relationship Id="rId37" Type="http://schemas.openxmlformats.org/officeDocument/2006/relationships/hyperlink" Target="https://drive.google.com/file/d/10udrWeeI02aBiLcC7Q-E43-qAfMdYJdU/view?usp=drivesdk" TargetMode="External"/><Relationship Id="rId36" Type="http://schemas.openxmlformats.org/officeDocument/2006/relationships/hyperlink" Target="https://drive.google.com/file/d/1pCjTCnnpD8445BEno_7i1mZQp9y2c8yb/view?usp=drivesdk" TargetMode="External"/><Relationship Id="rId39" Type="http://schemas.openxmlformats.org/officeDocument/2006/relationships/hyperlink" Target="https://drive.google.com/file/d/1i0eqD7NSGOJ13NC7ILPHhJnjXT_hvmI0/view?usp=drivesdk" TargetMode="External"/><Relationship Id="rId38" Type="http://schemas.openxmlformats.org/officeDocument/2006/relationships/hyperlink" Target="https://drive.google.com/file/d/1fi-O46f-evjBqfO297BfBa2aluoSipec/view?usp=drivesdk" TargetMode="External"/><Relationship Id="rId20" Type="http://schemas.openxmlformats.org/officeDocument/2006/relationships/hyperlink" Target="https://drive.google.com/file/d/1r5oydXGBbCvokYHZAOvFHqJjMZ4DhL5Z/view?usp=drivesdk" TargetMode="External"/><Relationship Id="rId22" Type="http://schemas.openxmlformats.org/officeDocument/2006/relationships/hyperlink" Target="https://drive.google.com/file/d/1bfq7t28fXm90WVcLYLcGT8D3I686Gj5f/view?usp=drivesdk" TargetMode="External"/><Relationship Id="rId21" Type="http://schemas.openxmlformats.org/officeDocument/2006/relationships/hyperlink" Target="https://drive.google.com/file/d/1efjHSHjtCNfgAP1f3f3GBVYNb19-DFEM/view?usp=drivesdk" TargetMode="External"/><Relationship Id="rId24" Type="http://schemas.openxmlformats.org/officeDocument/2006/relationships/hyperlink" Target="https://drive.google.com/file/d/1vPt9KUzs9xiT4ZyfI_6yvUj1KQvoQ1t7/view?usp=drivesdk" TargetMode="External"/><Relationship Id="rId23" Type="http://schemas.openxmlformats.org/officeDocument/2006/relationships/hyperlink" Target="https://drive.google.com/file/d/1RgNyIEu9jXFjZs2Uf00as476WbnL0MkX/view?usp=drivesdk" TargetMode="External"/><Relationship Id="rId26" Type="http://schemas.openxmlformats.org/officeDocument/2006/relationships/hyperlink" Target="https://drive.google.com/file/d/1phQr7QjgXdA-UvDCS8_wsrJulzSVAvCl/view?usp=drivesdk" TargetMode="External"/><Relationship Id="rId25" Type="http://schemas.openxmlformats.org/officeDocument/2006/relationships/hyperlink" Target="https://drive.google.com/file/d/1hcgycVp6kzsV_EREo3TmjEaWtYI7RbB6/view?usp=drivesdk" TargetMode="External"/><Relationship Id="rId28" Type="http://schemas.openxmlformats.org/officeDocument/2006/relationships/hyperlink" Target="https://drive.google.com/file/d/1_Eb7Nsr265CSQu505YOrBb33D3lHOfon/view?usp=drivesdk" TargetMode="External"/><Relationship Id="rId27" Type="http://schemas.openxmlformats.org/officeDocument/2006/relationships/hyperlink" Target="https://drive.google.com/file/d/10y9VkZLKJuldJRDVZK55jmTrP4Z5Il5C/view?usp=drivesdk" TargetMode="External"/><Relationship Id="rId29" Type="http://schemas.openxmlformats.org/officeDocument/2006/relationships/hyperlink" Target="https://drive.google.com/file/d/137sLOKNB-ex_RxXr6jln-RboSSKAouDK/view?usp=drivesdk" TargetMode="External"/><Relationship Id="rId11" Type="http://schemas.openxmlformats.org/officeDocument/2006/relationships/hyperlink" Target="https://drive.google.com/file/d/1aZOTuYlAPGczP1zWZZB9ro0Ru_or_5ND/view?usp=drivesdk" TargetMode="External"/><Relationship Id="rId10" Type="http://schemas.openxmlformats.org/officeDocument/2006/relationships/hyperlink" Target="https://drive.google.com/file/d/1Du0Y5USrE3tenMeFJ3hhDO7A2MyRv1hG/view?usp=drivesdk" TargetMode="External"/><Relationship Id="rId13" Type="http://schemas.openxmlformats.org/officeDocument/2006/relationships/hyperlink" Target="https://drive.google.com/file/d/1PuLHl5UfEC558pBz-CPIJzb3idJpVhNT/view?usp=drivesdk" TargetMode="External"/><Relationship Id="rId12" Type="http://schemas.openxmlformats.org/officeDocument/2006/relationships/hyperlink" Target="https://drive.google.com/file/d/1qpQRin7aMkcWvSd-FqtelOELpegJp3lW/view?usp=drivesdk" TargetMode="External"/><Relationship Id="rId15" Type="http://schemas.openxmlformats.org/officeDocument/2006/relationships/hyperlink" Target="https://drive.google.com/file/d/1xQkdZOtM_k0BXNw2u5SBVgUIOL8mz057/view?usp=drivesdk" TargetMode="External"/><Relationship Id="rId14" Type="http://schemas.openxmlformats.org/officeDocument/2006/relationships/hyperlink" Target="https://drive.google.com/file/d/1zWpL7nFgtPQeot6jNZ7OIHtJS0WlH5ov/view?usp=drivesdk" TargetMode="External"/><Relationship Id="rId17" Type="http://schemas.openxmlformats.org/officeDocument/2006/relationships/hyperlink" Target="https://drive.google.com/file/d/14s0nVWbh4jO3iwSRCOG5WGlRVZeRv1dk/view?usp=drivesdk" TargetMode="External"/><Relationship Id="rId16" Type="http://schemas.openxmlformats.org/officeDocument/2006/relationships/hyperlink" Target="https://drive.google.com/file/d/1eTQ1iuisjoRP0z0xLqaqbGuuF84HaHgy/view?usp=drivesdk" TargetMode="External"/><Relationship Id="rId19" Type="http://schemas.openxmlformats.org/officeDocument/2006/relationships/hyperlink" Target="https://drive.google.com/file/d/1zsAebtBw93pQxGN_61vwYG_3ArKb4jDb/view?usp=drivesdk" TargetMode="External"/><Relationship Id="rId18" Type="http://schemas.openxmlformats.org/officeDocument/2006/relationships/hyperlink" Target="https://drive.google.com/file/d/1XlXDQuPlWYOruogKVsJajdpeyou06Cjz/view?usp=drivesdk" TargetMode="External"/><Relationship Id="rId1" Type="http://schemas.openxmlformats.org/officeDocument/2006/relationships/hyperlink" Target="https://drive.google.com/file/d/1oqu_mMyloJbqQ36gX1w5MOexQ5Lj_dox/view?usp=drivesdk" TargetMode="External"/><Relationship Id="rId2" Type="http://schemas.openxmlformats.org/officeDocument/2006/relationships/hyperlink" Target="http://m.si/" TargetMode="External"/><Relationship Id="rId3" Type="http://schemas.openxmlformats.org/officeDocument/2006/relationships/hyperlink" Target="https://drive.google.com/file/d/1R__xp8_dTVJXL2pAOX3wDQ7xCcclToLO/view?usp=drivesdk" TargetMode="External"/><Relationship Id="rId4" Type="http://schemas.openxmlformats.org/officeDocument/2006/relationships/hyperlink" Target="https://drive.google.com/file/d/1nDq7pfwtVf5j9924MCxu2YDsbBqvnVa0/view?usp=drivesdk" TargetMode="External"/><Relationship Id="rId9" Type="http://schemas.openxmlformats.org/officeDocument/2006/relationships/hyperlink" Target="https://drive.google.com/file/d/1KWuVp_CGUg6woEUb_3pjXNgu7swB_yiD/view?usp=drivesdk" TargetMode="External"/><Relationship Id="rId5" Type="http://schemas.openxmlformats.org/officeDocument/2006/relationships/hyperlink" Target="https://drive.google.com/file/d/19ZnHJ9lerPnyc5mB7DTyuLt-FLN_QWVF/view?usp=drivesdk" TargetMode="External"/><Relationship Id="rId6" Type="http://schemas.openxmlformats.org/officeDocument/2006/relationships/hyperlink" Target="https://drive.google.com/file/d/1gPinhmTNPZgRF9OMAByXxkiMajbNQ4Mz/view?usp=drivesdk" TargetMode="External"/><Relationship Id="rId7" Type="http://schemas.openxmlformats.org/officeDocument/2006/relationships/hyperlink" Target="https://drive.google.com/file/d/11Thgeqzfi64B1BxZNgV78wJy7IfBVNcC/view?usp=drivesdk" TargetMode="External"/><Relationship Id="rId8" Type="http://schemas.openxmlformats.org/officeDocument/2006/relationships/hyperlink" Target="https://drive.google.com/file/d/1OhWLyzO9CTPDmauPhFnH3GQ5fUpEpkxc/view?usp=drivesdk" TargetMode="External"/><Relationship Id="rId62" Type="http://schemas.openxmlformats.org/officeDocument/2006/relationships/table" Target="../tables/table2.xml"/><Relationship Id="rId61" Type="http://schemas.openxmlformats.org/officeDocument/2006/relationships/table" Target="../tables/table1.xml"/><Relationship Id="rId51" Type="http://schemas.openxmlformats.org/officeDocument/2006/relationships/hyperlink" Target="https://drive.google.com/file/d/1i9IWg58cRAHLh_zQdNHUeve4FdalRyC0/view?usp=drivesdk" TargetMode="External"/><Relationship Id="rId50" Type="http://schemas.openxmlformats.org/officeDocument/2006/relationships/hyperlink" Target="https://drive.google.com/file/d/12qh_QxqJmuo3jH6MbijFbhxvigVWhjuq/view?usp=drivesdk" TargetMode="External"/><Relationship Id="rId53" Type="http://schemas.openxmlformats.org/officeDocument/2006/relationships/hyperlink" Target="https://drive.google.com/file/d/1nd1Sls38aAEHY9fzYtCf_KujfC-MNv8C/view?usp=drivesdk" TargetMode="External"/><Relationship Id="rId52" Type="http://schemas.openxmlformats.org/officeDocument/2006/relationships/hyperlink" Target="https://drive.google.com/file/d/1FZgBxCxj-p6CYsv5ARqnUA1U89KpYD1A/view?usp=drivesdk" TargetMode="External"/><Relationship Id="rId55" Type="http://schemas.openxmlformats.org/officeDocument/2006/relationships/hyperlink" Target="https://drive.google.com/file/d/1-Bw_4oziQ9ciWw8_M32KF7ZWPMy4Z-03/view?usp=drivesdk" TargetMode="External"/><Relationship Id="rId54" Type="http://schemas.openxmlformats.org/officeDocument/2006/relationships/hyperlink" Target="https://drive.google.com/file/d/1O2VDO6OH6VzmRwmk6GvcnBq3ZvDyFY-k/view?usp=drivesdk" TargetMode="External"/><Relationship Id="rId57" Type="http://schemas.openxmlformats.org/officeDocument/2006/relationships/hyperlink" Target="https://drive.google.com/file/d/1KnDVFPPRcK4zqBy5yfR3a7UaSbziiunz/view?usp=drivesdk" TargetMode="External"/><Relationship Id="rId56" Type="http://schemas.openxmlformats.org/officeDocument/2006/relationships/hyperlink" Target="https://drive.google.com/file/d/1FwB-aNee-Jk7cJkCrHiG5TW4R4-zYCQQ/view?usp=drivesdk" TargetMode="External"/><Relationship Id="rId5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wVfY5CUFBG1mnTHCD_L0qidMURXa8Wy/view?usp=drivesdk" TargetMode="External"/><Relationship Id="rId42" Type="http://schemas.openxmlformats.org/officeDocument/2006/relationships/hyperlink" Target="https://drive.google.com/file/d/1ljVuD47LDYM1Y9zK4ov5WM_yaJ8aXUiO/view?usp=drivesdk" TargetMode="External"/><Relationship Id="rId41" Type="http://schemas.openxmlformats.org/officeDocument/2006/relationships/hyperlink" Target="https://drive.google.com/file/d/1-XnsIZOZYjGPnLcB_NZhGwGDcm5vOk6b/view?usp=drivesdk" TargetMode="External"/><Relationship Id="rId44" Type="http://schemas.openxmlformats.org/officeDocument/2006/relationships/hyperlink" Target="https://drive.google.com/file/d/1PUfFMMc9mzkMGyppCQjpCBrRutj7h70w/view?usp=drivesdk" TargetMode="External"/><Relationship Id="rId43" Type="http://schemas.openxmlformats.org/officeDocument/2006/relationships/hyperlink" Target="https://drive.google.com/file/d/1CY9VQvi3gbms8pLrO9i8JM9YQS0w1EEM/view?usp=drivesdk" TargetMode="External"/><Relationship Id="rId46" Type="http://schemas.openxmlformats.org/officeDocument/2006/relationships/hyperlink" Target="https://drive.google.com/file/d/1SFSEPrvupnTHlqU2CPw_XAVYiyX2E0os/view?usp=drivesdk" TargetMode="External"/><Relationship Id="rId45" Type="http://schemas.openxmlformats.org/officeDocument/2006/relationships/hyperlink" Target="https://drive.google.com/file/d/1Yso3T6VnJ8Gldp2PLqwMvmJxGdWpsnsb/view?usp=drivesdk" TargetMode="External"/><Relationship Id="rId48" Type="http://schemas.openxmlformats.org/officeDocument/2006/relationships/drawing" Target="../drawings/drawing3.xml"/><Relationship Id="rId47" Type="http://schemas.openxmlformats.org/officeDocument/2006/relationships/hyperlink" Target="https://drive.google.com/file/d/1eCLenSR1kHkSCQL1t6RrPHq3WtlAy39A/view?usp=drivesdk" TargetMode="External"/><Relationship Id="rId31" Type="http://schemas.openxmlformats.org/officeDocument/2006/relationships/hyperlink" Target="https://drive.google.com/file/d/1V-MxWOHVr-dNz7D7T12TNEtJzdiLZ-Aq/view?usp=drivesdk" TargetMode="External"/><Relationship Id="rId30" Type="http://schemas.openxmlformats.org/officeDocument/2006/relationships/hyperlink" Target="http://s.si/" TargetMode="External"/><Relationship Id="rId33" Type="http://schemas.openxmlformats.org/officeDocument/2006/relationships/hyperlink" Target="https://drive.google.com/file/d/1gMrYPoaSTewYybryTOoa0emrV7bO5k8S/view?usp=drivesdk" TargetMode="External"/><Relationship Id="rId32" Type="http://schemas.openxmlformats.org/officeDocument/2006/relationships/hyperlink" Target="http://s.si/" TargetMode="External"/><Relationship Id="rId35" Type="http://schemas.openxmlformats.org/officeDocument/2006/relationships/hyperlink" Target="https://drive.google.com/file/d/1rBn_GBMUSq8wUaTDEKPOKarTrCb5KqAr/view?usp=drivesdk" TargetMode="External"/><Relationship Id="rId34" Type="http://schemas.openxmlformats.org/officeDocument/2006/relationships/hyperlink" Target="https://drive.google.com/file/d/1lcDn10j7oxAF0sqrLtMRV2AcRtWDu016/view?usp=drivesdk" TargetMode="External"/><Relationship Id="rId37" Type="http://schemas.openxmlformats.org/officeDocument/2006/relationships/hyperlink" Target="https://drive.google.com/file/d/10wgDLTyS14LEer9FLtk2UyWq7YnMTV99/view?usp=drivesdk" TargetMode="External"/><Relationship Id="rId36" Type="http://schemas.openxmlformats.org/officeDocument/2006/relationships/hyperlink" Target="https://drive.google.com/file/d/1PD0RsprAbCyFNvlAvT9ZTMqx9YXGHHLG/view?usp=drivesdk" TargetMode="External"/><Relationship Id="rId39" Type="http://schemas.openxmlformats.org/officeDocument/2006/relationships/hyperlink" Target="https://drive.google.com/file/d/1YRISNc1j50SCuipERdrnK5c_grcyvUem/view?usp=drivesdk" TargetMode="External"/><Relationship Id="rId38" Type="http://schemas.openxmlformats.org/officeDocument/2006/relationships/hyperlink" Target="http://s.si/" TargetMode="External"/><Relationship Id="rId20" Type="http://schemas.openxmlformats.org/officeDocument/2006/relationships/hyperlink" Target="http://s.si/" TargetMode="External"/><Relationship Id="rId22" Type="http://schemas.openxmlformats.org/officeDocument/2006/relationships/hyperlink" Target="https://drive.google.com/file/d/1rtdKBUNsQUKibA16zk5O_Ut7DlohGl7B/view?usp=drivesdk" TargetMode="External"/><Relationship Id="rId21" Type="http://schemas.openxmlformats.org/officeDocument/2006/relationships/hyperlink" Target="https://drive.google.com/file/d/1ntoA4I2mDzS7tyMzD9MhIymH0Xq69Pov/view?usp=drivesdk" TargetMode="External"/><Relationship Id="rId24" Type="http://schemas.openxmlformats.org/officeDocument/2006/relationships/hyperlink" Target="https://drive.google.com/file/d/1brv1g9w9bC7R3g97LRUH3I64-4Td2XNQ/view?usp=drivesdk" TargetMode="External"/><Relationship Id="rId23" Type="http://schemas.openxmlformats.org/officeDocument/2006/relationships/hyperlink" Target="http://s.si/" TargetMode="External"/><Relationship Id="rId26" Type="http://schemas.openxmlformats.org/officeDocument/2006/relationships/hyperlink" Target="https://drive.google.com/file/d/1dvcw7ENpZSluWvl6hWYb6nXymVQrk9k_/view?usp=drivesdk" TargetMode="External"/><Relationship Id="rId25" Type="http://schemas.openxmlformats.org/officeDocument/2006/relationships/hyperlink" Target="https://drive.google.com/file/d/1jSsKlR0Xl2invbrA-F_r-mkOTOnvZXOo/view?usp=drivesdk" TargetMode="External"/><Relationship Id="rId28" Type="http://schemas.openxmlformats.org/officeDocument/2006/relationships/hyperlink" Target="https://drive.google.com/file/d/1izJ1BU1Dkr4UeuWXPxWKmC3UtbYUxbp0/view?usp=drivesdk" TargetMode="External"/><Relationship Id="rId27" Type="http://schemas.openxmlformats.org/officeDocument/2006/relationships/hyperlink" Target="https://drive.google.com/file/d/1xgrkTgC24OAUygRRYwrzXwdPNolmXJvP/view?usp=drivesdk" TargetMode="External"/><Relationship Id="rId29" Type="http://schemas.openxmlformats.org/officeDocument/2006/relationships/hyperlink" Target="https://drive.google.com/file/d/1ggGLHcaS2A7u16t6yF92mEIp8ek0kbF8/view?usp=drivesdk" TargetMode="External"/><Relationship Id="rId11" Type="http://schemas.openxmlformats.org/officeDocument/2006/relationships/hyperlink" Target="https://drive.google.com/file/d/1_nVlyuw4mUxVMeG-4OfzB39uU4QW1AvY/view?usp=drivesdk" TargetMode="External"/><Relationship Id="rId10" Type="http://schemas.openxmlformats.org/officeDocument/2006/relationships/hyperlink" Target="https://drive.google.com/file/d/1Gw2w0uDLVcY_KkSf-MT7rtmYfbCM39iB/view?usp=drivesdk" TargetMode="External"/><Relationship Id="rId13" Type="http://schemas.openxmlformats.org/officeDocument/2006/relationships/hyperlink" Target="https://drive.google.com/file/d/1fMdn4sTK4TohyLHdThlTMFGs0Vb5ds8C/view?usp=drivesdk" TargetMode="External"/><Relationship Id="rId12" Type="http://schemas.openxmlformats.org/officeDocument/2006/relationships/hyperlink" Target="http://s.si/" TargetMode="External"/><Relationship Id="rId15" Type="http://schemas.openxmlformats.org/officeDocument/2006/relationships/hyperlink" Target="https://drive.google.com/file/d/1h6Wf4fgvQ0i7LON41MNaOGA6aiPjJWea/view?usp=drivesdk" TargetMode="External"/><Relationship Id="rId14" Type="http://schemas.openxmlformats.org/officeDocument/2006/relationships/hyperlink" Target="http://s.si/" TargetMode="External"/><Relationship Id="rId17" Type="http://schemas.openxmlformats.org/officeDocument/2006/relationships/hyperlink" Target="https://drive.google.com/file/d/1tqg56ZGG39ZZ1K_seOhHNdssuFT5sqFO/view?usp=drivesdk" TargetMode="External"/><Relationship Id="rId16" Type="http://schemas.openxmlformats.org/officeDocument/2006/relationships/hyperlink" Target="https://drive.google.com/file/d/1W1s0UGYXGyDGaF15VWoVQPUthx0P6BQV/view?usp=drivesdk" TargetMode="External"/><Relationship Id="rId19" Type="http://schemas.openxmlformats.org/officeDocument/2006/relationships/hyperlink" Target="https://drive.google.com/file/d/1apABu_A74AjS3lKScd-aYtCfUjm3j51y/view?usp=drivesdk" TargetMode="External"/><Relationship Id="rId18" Type="http://schemas.openxmlformats.org/officeDocument/2006/relationships/hyperlink" Target="https://drive.google.com/file/d/1cuY62xbd05v1qjU5qJlsZc-wLoImc0Jz/view?usp=drivesdk" TargetMode="External"/><Relationship Id="rId1" Type="http://schemas.openxmlformats.org/officeDocument/2006/relationships/hyperlink" Target="https://drive.google.com/file/d/1ZFUcf6p0DgVOsfOM7cW-dM7Iade-xfDW/view?usp=drivesdk" TargetMode="External"/><Relationship Id="rId2" Type="http://schemas.openxmlformats.org/officeDocument/2006/relationships/hyperlink" Target="http://s.si/" TargetMode="External"/><Relationship Id="rId3" Type="http://schemas.openxmlformats.org/officeDocument/2006/relationships/hyperlink" Target="https://drive.google.com/file/d/1KMrRNa_ycmsWkJAcCkLu4RZQHPh2pJQt/view?usp=drivesdk" TargetMode="External"/><Relationship Id="rId4" Type="http://schemas.openxmlformats.org/officeDocument/2006/relationships/hyperlink" Target="https://drive.google.com/file/d/1bNtn-QSUAw5p5SbyWezC8LTmOc8u--_6/view?usp=drivesdk" TargetMode="External"/><Relationship Id="rId9" Type="http://schemas.openxmlformats.org/officeDocument/2006/relationships/hyperlink" Target="https://drive.google.com/file/d/1LMxsC8EoWjmxCCiUfgFW_PnIXV0DhmyG/view?usp=drivesdk" TargetMode="External"/><Relationship Id="rId5" Type="http://schemas.openxmlformats.org/officeDocument/2006/relationships/hyperlink" Target="https://drive.google.com/file/d/18mbQJ34IgPjyPTYprHIBlBZBK_lIETZZ/view?usp=drivesdk" TargetMode="External"/><Relationship Id="rId6" Type="http://schemas.openxmlformats.org/officeDocument/2006/relationships/hyperlink" Target="https://drive.google.com/file/d/1Kqn4wUTTgnQk6aBtPcgSb4mTNU2qPqud/view?usp=drivesdk" TargetMode="External"/><Relationship Id="rId7" Type="http://schemas.openxmlformats.org/officeDocument/2006/relationships/hyperlink" Target="https://drive.google.com/file/d/1TWSJFmVvGJ0HenweklyZ1UNOsm_k9Rni/view?usp=drivesdk" TargetMode="External"/><Relationship Id="rId8" Type="http://schemas.openxmlformats.org/officeDocument/2006/relationships/hyperlink" Target="http://s.si/" TargetMode="External"/><Relationship Id="rId62" Type="http://schemas.openxmlformats.org/officeDocument/2006/relationships/table" Target="../tables/table9.xml"/><Relationship Id="rId61" Type="http://schemas.openxmlformats.org/officeDocument/2006/relationships/table" Target="../tables/table8.xml"/><Relationship Id="rId60" Type="http://schemas.openxmlformats.org/officeDocument/2006/relationships/table" Target="../tables/table7.xml"/><Relationship Id="rId57" Type="http://schemas.openxmlformats.org/officeDocument/2006/relationships/table" Target="../tables/table4.xml"/><Relationship Id="rId56" Type="http://schemas.openxmlformats.org/officeDocument/2006/relationships/table" Target="../tables/table3.xml"/><Relationship Id="rId59" Type="http://schemas.openxmlformats.org/officeDocument/2006/relationships/table" Target="../tables/table6.xml"/><Relationship Id="rId5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7lNbHnevJvbNOQg9ypabWghSsrAXltNK/view?usp=drivesdk" TargetMode="External"/><Relationship Id="rId22" Type="http://schemas.openxmlformats.org/officeDocument/2006/relationships/hyperlink" Target="https://drive.google.com/file/d/13Dcz5yOTVFzNIAJ3ewlN0mVmjtqYDHHi/view?usp=drivesdk" TargetMode="External"/><Relationship Id="rId21" Type="http://schemas.openxmlformats.org/officeDocument/2006/relationships/hyperlink" Target="https://drive.google.com/file/d/10Fg7efGfItOkV142fsz84su1m7--vMXG/view?usp=drivesdk" TargetMode="External"/><Relationship Id="rId24" Type="http://schemas.openxmlformats.org/officeDocument/2006/relationships/hyperlink" Target="http://s.si/" TargetMode="External"/><Relationship Id="rId23" Type="http://schemas.openxmlformats.org/officeDocument/2006/relationships/hyperlink" Target="https://drive.google.com/file/d/1u2VKVqzYs2vJECj78XqUE3aaQ7S9pdpt/view?usp=drivesdk" TargetMode="External"/><Relationship Id="rId26" Type="http://schemas.openxmlformats.org/officeDocument/2006/relationships/hyperlink" Target="https://drive.google.com/file/d/1EbD6x7KNTLVkSQplNCeduP1d7t5lMvAV/view?usp=drivesdk" TargetMode="External"/><Relationship Id="rId25" Type="http://schemas.openxmlformats.org/officeDocument/2006/relationships/hyperlink" Target="https://drive.google.com/file/d/1BgSREWJswpl-QAcmZo8T1SJWEGrpQ1XS/view?usp=drivesdk" TargetMode="External"/><Relationship Id="rId27" Type="http://schemas.openxmlformats.org/officeDocument/2006/relationships/drawing" Target="../drawings/drawing4.xml"/><Relationship Id="rId29" Type="http://schemas.openxmlformats.org/officeDocument/2006/relationships/table" Target="../tables/table10.xml"/><Relationship Id="rId11" Type="http://schemas.openxmlformats.org/officeDocument/2006/relationships/hyperlink" Target="https://drive.google.com/file/d/12-mkhELBm4eXASWh2N32zNH2EH6p4-br/view?usp=drivesdk" TargetMode="External"/><Relationship Id="rId10" Type="http://schemas.openxmlformats.org/officeDocument/2006/relationships/hyperlink" Target="https://drive.google.com/file/d/1mtZThnwb1xCGjx4LmFXyeMedJBXRqP7A/view?usp=drivesdk" TargetMode="External"/><Relationship Id="rId13" Type="http://schemas.openxmlformats.org/officeDocument/2006/relationships/hyperlink" Target="http://s.si/" TargetMode="External"/><Relationship Id="rId12" Type="http://schemas.openxmlformats.org/officeDocument/2006/relationships/hyperlink" Target="https://drive.google.com/file/d/1iX1VgrLe_AYib39-hSkkFMaTmWT1OaRn/view?usp=drivesdk" TargetMode="External"/><Relationship Id="rId15" Type="http://schemas.openxmlformats.org/officeDocument/2006/relationships/hyperlink" Target="https://drive.google.com/file/d/1xPa7EC47KKbp_a7TNYNh91n_ujrkWeeW/view?usp=drivesdk" TargetMode="External"/><Relationship Id="rId14" Type="http://schemas.openxmlformats.org/officeDocument/2006/relationships/hyperlink" Target="https://drive.google.com/file/d/1UV4xpDqsyQLuTyZNLaXjDVn80nhUlKwB/view?usp=drivesdk" TargetMode="External"/><Relationship Id="rId17" Type="http://schemas.openxmlformats.org/officeDocument/2006/relationships/hyperlink" Target="https://drive.google.com/file/d/1dtrcsbUdkm-ISmiBOTAnLPPvridriERZ/view?usp=drivesdk" TargetMode="External"/><Relationship Id="rId16" Type="http://schemas.openxmlformats.org/officeDocument/2006/relationships/hyperlink" Target="https://drive.google.com/file/d/1_ma1Pg4lO9GZ218bIHr0h4G_IfnbDZ3D/view?usp=drivesdk" TargetMode="External"/><Relationship Id="rId19" Type="http://schemas.openxmlformats.org/officeDocument/2006/relationships/hyperlink" Target="http://s.si/" TargetMode="External"/><Relationship Id="rId18" Type="http://schemas.openxmlformats.org/officeDocument/2006/relationships/hyperlink" Target="https://drive.google.com/file/d/1QEGVL8Y9eLRkalEDR9mLMU2or-8gLqIm/view?usp=drivesdk" TargetMode="External"/><Relationship Id="rId1" Type="http://schemas.openxmlformats.org/officeDocument/2006/relationships/hyperlink" Target="http://s.si/" TargetMode="External"/><Relationship Id="rId2" Type="http://schemas.openxmlformats.org/officeDocument/2006/relationships/hyperlink" Target="https://drive.google.com/file/d/1tIG-wsbl0QSmtwtmiXtpgwtUpgB8VGh-/view?usp=drivesdk" TargetMode="External"/><Relationship Id="rId3" Type="http://schemas.openxmlformats.org/officeDocument/2006/relationships/hyperlink" Target="https://drive.google.com/file/d/1ZH4zfp9D087YYsXX0wkToPRsJgRy-Ie4/view?usp=drivesdk" TargetMode="External"/><Relationship Id="rId4" Type="http://schemas.openxmlformats.org/officeDocument/2006/relationships/hyperlink" Target="http://s.si/" TargetMode="External"/><Relationship Id="rId9" Type="http://schemas.openxmlformats.org/officeDocument/2006/relationships/hyperlink" Target="http://s.si/" TargetMode="External"/><Relationship Id="rId5" Type="http://schemas.openxmlformats.org/officeDocument/2006/relationships/hyperlink" Target="https://drive.google.com/file/d/1XurTf5Di8kCM7QhkVBz5ySa_nlaxJVDx/view?usp=drivesdk" TargetMode="External"/><Relationship Id="rId6" Type="http://schemas.openxmlformats.org/officeDocument/2006/relationships/hyperlink" Target="https://drive.google.com/file/d/1U0OSKXA14No5S-e1GxCraXqOW-RwK8iX/view?usp=drivesdk" TargetMode="External"/><Relationship Id="rId7" Type="http://schemas.openxmlformats.org/officeDocument/2006/relationships/hyperlink" Target="http://s.si/" TargetMode="External"/><Relationship Id="rId8" Type="http://schemas.openxmlformats.org/officeDocument/2006/relationships/hyperlink" Target="https://drive.google.com/file/d/1JeNKkEXwSPr8VmxPkNiaSjrBV3---V7b/view?usp=drivesd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hyperlink" Target="https://drive.google.com/file/d/1x7PLMPdvXL4B077WtEcxu0AIGE7xO8Fh/view?usp=drivesdk" TargetMode="External"/><Relationship Id="rId30" Type="http://schemas.openxmlformats.org/officeDocument/2006/relationships/hyperlink" Target="https://drive.google.com/file/d/1RI9vCEtx2NaVJCTO41rgl7WBU8g1op82/view?usp=drivesdk" TargetMode="External"/><Relationship Id="rId32" Type="http://schemas.openxmlformats.org/officeDocument/2006/relationships/drawing" Target="../drawings/drawing6.xml"/><Relationship Id="rId34" Type="http://schemas.openxmlformats.org/officeDocument/2006/relationships/table" Target="../tables/table11.xml"/><Relationship Id="rId20" Type="http://schemas.openxmlformats.org/officeDocument/2006/relationships/hyperlink" Target="https://drive.google.com/file/d/1qCEcxHEGYRBa6IvBXWDkPXsAr3EMQvjr/view?usp=drivesdk" TargetMode="External"/><Relationship Id="rId22" Type="http://schemas.openxmlformats.org/officeDocument/2006/relationships/hyperlink" Target="https://drive.google.com/file/d/1IJBD_FYzRlZr81TocaFiWwTsJihchpVM/view?usp=drivesdk" TargetMode="External"/><Relationship Id="rId21" Type="http://schemas.openxmlformats.org/officeDocument/2006/relationships/hyperlink" Target="https://drive.google.com/file/d/15drJ3dkCokENTm4fY0MXFGNtoWorE7zj/view?usp=drivesdk" TargetMode="External"/><Relationship Id="rId24" Type="http://schemas.openxmlformats.org/officeDocument/2006/relationships/hyperlink" Target="https://drive.google.com/file/d/1VX7qYoM7G-SmR4HkT95_x6k-X7VDu4Zn/view?usp=drivesdk" TargetMode="External"/><Relationship Id="rId23" Type="http://schemas.openxmlformats.org/officeDocument/2006/relationships/hyperlink" Target="https://drive.google.com/file/d/1s6oqYjTr9YmSWqFLaFz-bdlxW3d0JvI8/view?usp=drivesdk" TargetMode="External"/><Relationship Id="rId26" Type="http://schemas.openxmlformats.org/officeDocument/2006/relationships/hyperlink" Target="https://drive.google.com/file/d/1BVXE5Xd6nXomiVhYsc2Ym59NPfrJHxLd/view?usp=drivesdk" TargetMode="External"/><Relationship Id="rId25" Type="http://schemas.openxmlformats.org/officeDocument/2006/relationships/hyperlink" Target="https://drive.google.com/file/d/1rsWc6-SA91V2ObuNbBCLzDowzuCXOxVU/view?usp=drivesdk" TargetMode="External"/><Relationship Id="rId28" Type="http://schemas.openxmlformats.org/officeDocument/2006/relationships/hyperlink" Target="http://s.si/" TargetMode="External"/><Relationship Id="rId27" Type="http://schemas.openxmlformats.org/officeDocument/2006/relationships/hyperlink" Target="https://drive.google.com/file/d/1FCv0VeAzQUfsRoradFch0G3_mNczJmf8/view?usp=drivesdk" TargetMode="External"/><Relationship Id="rId29" Type="http://schemas.openxmlformats.org/officeDocument/2006/relationships/hyperlink" Target="https://drive.google.com/file/d/1X1F-JF25tctAIF6_nSq0bPPSQrtHKjBn/view?usp=drivesdk" TargetMode="External"/><Relationship Id="rId11" Type="http://schemas.openxmlformats.org/officeDocument/2006/relationships/hyperlink" Target="https://drive.google.com/file/d/1CaN36IWi0YumxZCgUaeuLhXNldd7zqTr/view?usp=drivesdk" TargetMode="External"/><Relationship Id="rId10" Type="http://schemas.openxmlformats.org/officeDocument/2006/relationships/hyperlink" Target="https://drive.google.com/file/d/1lBgpgn_7rfhaAZ8R-Chl-xCX2JUFJJpA/view?usp=drivesdk" TargetMode="External"/><Relationship Id="rId13" Type="http://schemas.openxmlformats.org/officeDocument/2006/relationships/hyperlink" Target="https://drive.google.com/file/d/1nMoZWaJNl321J7t_P5hfLfAe7V58PrKG/view?usp=drivesdk" TargetMode="External"/><Relationship Id="rId12" Type="http://schemas.openxmlformats.org/officeDocument/2006/relationships/hyperlink" Target="https://drive.google.com/file/d/1EJ9d3xUBpV6Pe27m7mLEkegOfeXLKQwQ/view?usp=drivesdk" TargetMode="External"/><Relationship Id="rId15" Type="http://schemas.openxmlformats.org/officeDocument/2006/relationships/hyperlink" Target="https://drive.google.com/file/d/1Ndmr1jG1KR-hNUvR4kTOT3hwjPvwTpNB/view?usp=drivesdk" TargetMode="External"/><Relationship Id="rId14" Type="http://schemas.openxmlformats.org/officeDocument/2006/relationships/hyperlink" Target="https://drive.google.com/file/d/1_T6BlQMNzeu3tg6Ba3Ep_jjv3pBl-yuA/view?usp=drivesdk" TargetMode="External"/><Relationship Id="rId17" Type="http://schemas.openxmlformats.org/officeDocument/2006/relationships/hyperlink" Target="https://drive.google.com/file/d/15wPMAgHby5rfcww2JYpRJxsMid9gx0C2/view?usp=drivesdk" TargetMode="External"/><Relationship Id="rId16" Type="http://schemas.openxmlformats.org/officeDocument/2006/relationships/hyperlink" Target="https://drive.google.com/file/d/1ZJiKy3Mj7kVlaoH3jcCiei8gj_Km3PNB/view?usp=drivesdk" TargetMode="External"/><Relationship Id="rId19" Type="http://schemas.openxmlformats.org/officeDocument/2006/relationships/hyperlink" Target="https://drive.google.com/file/d/1oOnyGXeXoXKrNIuqHafEmSSaZKkRzgUS/view?usp=drivesdk" TargetMode="External"/><Relationship Id="rId18" Type="http://schemas.openxmlformats.org/officeDocument/2006/relationships/hyperlink" Target="https://drive.google.com/file/d/1MFKUcLnJ6Y0TZCzfOBcXfyj5LcwZYQXm/view?usp=drivesdk" TargetMode="External"/><Relationship Id="rId1" Type="http://schemas.openxmlformats.org/officeDocument/2006/relationships/hyperlink" Target="https://drive.google.com/file/d/1j5LwuXeROVkpnrpWFdYPCRivmqkJwetz/view?usp=drivesdk" TargetMode="External"/><Relationship Id="rId2" Type="http://schemas.openxmlformats.org/officeDocument/2006/relationships/hyperlink" Target="http://m.si/" TargetMode="External"/><Relationship Id="rId3" Type="http://schemas.openxmlformats.org/officeDocument/2006/relationships/hyperlink" Target="https://drive.google.com/file/d/1bB1ZtCSVddqIBOEknGXtibn2fkIbEizi/view?usp=drivesdk" TargetMode="External"/><Relationship Id="rId4" Type="http://schemas.openxmlformats.org/officeDocument/2006/relationships/hyperlink" Target="https://drive.google.com/file/d/1auCtTjUXtI4YNYmy18OhwV3QIV6GoT1u/view?usp=drivesdk" TargetMode="External"/><Relationship Id="rId9" Type="http://schemas.openxmlformats.org/officeDocument/2006/relationships/hyperlink" Target="https://drive.google.com/file/d/1EmV2uID1kM-urv4tHJkDQDTgMr_SFOA8/view?usp=drivesdk" TargetMode="External"/><Relationship Id="rId5" Type="http://schemas.openxmlformats.org/officeDocument/2006/relationships/hyperlink" Target="https://drive.google.com/file/d/1xUqQ0shLMdrrd4mgCMF_Nr5HGlSuCM1M/view?usp=drivesdk" TargetMode="External"/><Relationship Id="rId6" Type="http://schemas.openxmlformats.org/officeDocument/2006/relationships/hyperlink" Target="https://drive.google.com/file/d/1V46lkaevxowm7i383cQEaXb5pvpn6CGI/view?usp=drivesdk" TargetMode="External"/><Relationship Id="rId7" Type="http://schemas.openxmlformats.org/officeDocument/2006/relationships/hyperlink" Target="https://drive.google.com/file/d/1eAL6qGcUmFCr7a40zbs4HIo7dgTVMGVf/view?usp=drivesdk" TargetMode="External"/><Relationship Id="rId8" Type="http://schemas.openxmlformats.org/officeDocument/2006/relationships/hyperlink" Target="https://drive.google.com/file/d/1vCg7IjM4j-VtLnxNAw1iw9ps7XtcpFye/view?usp=drivesd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31" Type="http://schemas.openxmlformats.org/officeDocument/2006/relationships/table" Target="../tables/table12.xml"/><Relationship Id="rId32" Type="http://schemas.openxmlformats.org/officeDocument/2006/relationships/table" Target="../tables/table13.xml"/><Relationship Id="rId20" Type="http://schemas.openxmlformats.org/officeDocument/2006/relationships/hyperlink" Target="https://drive.google.com/file/d/1hMTuNpHY-HlJxVp8z_oTOSnL4VZNhg1a/view?usp=drivesdk" TargetMode="External"/><Relationship Id="rId22" Type="http://schemas.openxmlformats.org/officeDocument/2006/relationships/hyperlink" Target="http://s.si/" TargetMode="External"/><Relationship Id="rId21" Type="http://schemas.openxmlformats.org/officeDocument/2006/relationships/hyperlink" Target="http://s.si/" TargetMode="External"/><Relationship Id="rId24" Type="http://schemas.openxmlformats.org/officeDocument/2006/relationships/hyperlink" Target="https://drive.google.com/file/d/1ktqzvlQHLdev0jUYNOG-wmTXK9CixonE/view?usp=drivesdk" TargetMode="External"/><Relationship Id="rId23" Type="http://schemas.openxmlformats.org/officeDocument/2006/relationships/hyperlink" Target="https://drive.google.com/file/d/1GOZ0UKlpHbmGjFWDTwX4trz4L15KCEGp/view?usp=drivesdk" TargetMode="External"/><Relationship Id="rId26" Type="http://schemas.openxmlformats.org/officeDocument/2006/relationships/hyperlink" Target="https://drive.google.com/file/d/15e5qO2-Uu_PKKki8texEzJR_NkAxDlt3/view?usp=drivesdk" TargetMode="External"/><Relationship Id="rId25" Type="http://schemas.openxmlformats.org/officeDocument/2006/relationships/hyperlink" Target="https://drive.google.com/file/d/1t7Qo52fcBImPLT3KSSYbM1Posmrbw4JE/view?usp=drivesdk" TargetMode="External"/><Relationship Id="rId28" Type="http://schemas.openxmlformats.org/officeDocument/2006/relationships/drawing" Target="../drawings/drawing8.xml"/><Relationship Id="rId27" Type="http://schemas.openxmlformats.org/officeDocument/2006/relationships/hyperlink" Target="https://drive.google.com/file/d/12VIXvd-geCcIgyyh2kUi4I6VEbTOIufc/view?usp=drivesdk" TargetMode="External"/><Relationship Id="rId11" Type="http://schemas.openxmlformats.org/officeDocument/2006/relationships/hyperlink" Target="https://drive.google.com/file/d/1il9aeZ1fp8h2dbq9aqKpXTQEc7YKB6WA/view?usp=drivesdk" TargetMode="External"/><Relationship Id="rId10" Type="http://schemas.openxmlformats.org/officeDocument/2006/relationships/hyperlink" Target="https://drive.google.com/file/d/1QtJlX4eJDzBeF_C5ewdnIva3fAC0V4OS/view?usp=drivesdk" TargetMode="External"/><Relationship Id="rId13" Type="http://schemas.openxmlformats.org/officeDocument/2006/relationships/hyperlink" Target="https://drive.google.com/file/d/1p23nSB1cRaO_vYfqryCPJJo2ZDgt5P-a/view?usp=drivesdk" TargetMode="External"/><Relationship Id="rId12" Type="http://schemas.openxmlformats.org/officeDocument/2006/relationships/hyperlink" Target="https://drive.google.com/file/d/16d8nDarn3n9AZxpeghXWGJN9wYvgqgVV/view?usp=drivesdk" TargetMode="External"/><Relationship Id="rId15" Type="http://schemas.openxmlformats.org/officeDocument/2006/relationships/hyperlink" Target="http://s.si/" TargetMode="External"/><Relationship Id="rId14" Type="http://schemas.openxmlformats.org/officeDocument/2006/relationships/hyperlink" Target="https://drive.google.com/file/d/1oxdRT4WF0-ovYEmqYZYJkDsPHu_9zf0v/view?usp=drivesdk" TargetMode="External"/><Relationship Id="rId17" Type="http://schemas.openxmlformats.org/officeDocument/2006/relationships/hyperlink" Target="http://s.si/" TargetMode="External"/><Relationship Id="rId16" Type="http://schemas.openxmlformats.org/officeDocument/2006/relationships/hyperlink" Target="https://drive.google.com/file/d/1aUb4b7TOQL0NIO3IYHs204MWccA0oabH/view?usp=drivesdk" TargetMode="External"/><Relationship Id="rId19" Type="http://schemas.openxmlformats.org/officeDocument/2006/relationships/hyperlink" Target="http://s.si/" TargetMode="External"/><Relationship Id="rId18" Type="http://schemas.openxmlformats.org/officeDocument/2006/relationships/hyperlink" Target="https://drive.google.com/file/d/1ZTZ0PFTGjT-lHE2ZeVOzyQLC9YrapAeM/view?usp=drivesdk" TargetMode="External"/><Relationship Id="rId1" Type="http://schemas.openxmlformats.org/officeDocument/2006/relationships/hyperlink" Target="http://s.si/" TargetMode="External"/><Relationship Id="rId2" Type="http://schemas.openxmlformats.org/officeDocument/2006/relationships/hyperlink" Target="https://drive.google.com/file/d/1Ns2Io2LXtkRhbreQzhKXCFo6Sbu2QNix/view?usp=drivesdk" TargetMode="External"/><Relationship Id="rId3" Type="http://schemas.openxmlformats.org/officeDocument/2006/relationships/hyperlink" Target="http://s.si/" TargetMode="External"/><Relationship Id="rId4" Type="http://schemas.openxmlformats.org/officeDocument/2006/relationships/hyperlink" Target="https://drive.google.com/file/d/1M15opThALBjGSP7aOoxmrfprV9sweQvE/view?usp=drivesdk" TargetMode="External"/><Relationship Id="rId9" Type="http://schemas.openxmlformats.org/officeDocument/2006/relationships/hyperlink" Target="http://s.si/" TargetMode="External"/><Relationship Id="rId5" Type="http://schemas.openxmlformats.org/officeDocument/2006/relationships/hyperlink" Target="https://drive.google.com/file/d/1DbA28cALOIZ-bAO_A6mB-1hG14isKOSd/view?usp=drivesdk" TargetMode="External"/><Relationship Id="rId6" Type="http://schemas.openxmlformats.org/officeDocument/2006/relationships/hyperlink" Target="https://drive.google.com/file/d/1O88X1SQXiVVq0wndXN1XqF3HNGxBcUGh/view?usp=drivesdk" TargetMode="External"/><Relationship Id="rId7" Type="http://schemas.openxmlformats.org/officeDocument/2006/relationships/hyperlink" Target="http://s.si/" TargetMode="External"/><Relationship Id="rId8" Type="http://schemas.openxmlformats.org/officeDocument/2006/relationships/hyperlink" Target="https://drive.google.com/file/d/1p74Qu0LOd8AE3lvZnlZiQNAgHKV9HL6r/view?usp=drivesd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55.75"/>
    <col customWidth="1" min="3" max="3" width="3.38"/>
    <col customWidth="1" min="4" max="4" width="6.0"/>
    <col customWidth="1" min="5" max="5" width="15.5"/>
    <col customWidth="1" min="6" max="6" width="44.0"/>
    <col customWidth="1" min="7" max="7" width="42.88"/>
    <col customWidth="1" min="8" max="8" width="18.13"/>
    <col customWidth="1" min="9" max="9" width="11.13"/>
    <col customWidth="1" min="10" max="10" width="8.75"/>
    <col customWidth="1" min="11" max="11" width="18.0"/>
    <col customWidth="1" min="12" max="12" width="17.13"/>
    <col customWidth="1" min="13" max="13" width="18.63"/>
  </cols>
  <sheetData>
    <row r="1">
      <c r="D1" s="1" t="s">
        <v>0</v>
      </c>
    </row>
    <row r="2">
      <c r="A2" s="2" t="s">
        <v>1</v>
      </c>
      <c r="B2" s="3" t="s">
        <v>2</v>
      </c>
      <c r="C2" s="4"/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>
      <c r="A3" s="2" t="s">
        <v>13</v>
      </c>
      <c r="B3" s="3" t="s">
        <v>14</v>
      </c>
      <c r="C3" s="4"/>
      <c r="D3" s="6">
        <f>IFERROR(__xludf.DUMMYFUNCTION("ARRAYFORMULA(LET(
  MasterList, QUERY(
    VSTACK(
      HSTACK('ST 2 org'!K2:K200, 'ST 2 org'!G2:G200, 'ST 2 org'!J2:J200, 'ST 2 org'!L2:L200, 'ST 2 org'!A2:A200, 'ST 2 org'!O2:O200),
      HSTACK('ST 3 org'!M2:M200, 'ST 3 org'!I2:I200, 'ST 3 org'!L2:L20"&amp;"0, 'ST 3 org'!N2:N200, 'ST 3 org'!A2:A200, 'ST 3 org'!Q2:Q200),
      HSTACK('ST 4 org'!O2:O200, 'ST 4 org'!K2:K200, 'ST 4 org'!N2:N200, 'ST 4 org'!P2:P200, 'ST 4 org'!A2:A200, 'ST 4 org'!S2:S200)
    ), ""SELECT * WHERE Col2 IS NOT NULL"", 0
  ),
  Ref_D"&amp;"aftar, INDEX(MasterList, , 1),
  Ref_KeyName, INDEX(MasterList, , 2),
  Ref_Prod, INDEX(MasterList, , 3),
  Ref_Date, INDEX(MasterList, , 4),
  Ref_NoST, INDEX(MasterList, , 5),
  Ref_LinkST, INDEX(MasterList, , 6),
  SPK_KeyName, IFNA(VLOOKUP(Ref_KeyName"&amp;", HSTACK(SPK!G:G, SPK!G:G), 2, 0), Ref_KeyName),
  SPK_No, IFNA(VLOOKUP(Ref_KeyName, HSTACK(SPK!G:G, SPK!A:A), 2, 0), ""-""),
  SPK_Link, IFNA(VLOOKUP(Ref_KeyName, HSTACK(SPK!G:G, SPK!I:I), 2, 0), ""-""),
  Audit_Link, IFNA(VLOOKUP(Ref_KeyName, 'Berkas Au"&amp;"dit 2 org'!A:G, 7, 0), IFNA(VLOOKUP(Ref_KeyName, 'Berkas Audit 3 org'!A:H, 8, 0), IFNA(VLOOKUP(Ref_KeyName, 'Berkas Audit 4 org'!A:I, 9, 0), ""-""))),
  No_Urut, SEQUENCE(ROWS(MasterList)),
  HSTACK(No_Urut, Ref_Daftar, SPK_KeyName, Ref_Prod, Ref_Date, Re"&amp;"f_NoST, SPK_No, Ref_LinkST, SPK_Link, Audit_Link)
))"),1.0)</f>
        <v>1</v>
      </c>
      <c r="E3" s="6" t="str">
        <f>IFERROR(__xludf.DUMMYFUNCTION("""COMPUTED_VALUE"""),"SH2025-1-1285774")</f>
        <v>SH2025-1-1285774</v>
      </c>
      <c r="F3" s="6" t="str">
        <f>IFERROR(__xludf.DUMMYFUNCTION("""COMPUTED_VALUE"""),"ABDI BANGSA CIANJUR")</f>
        <v>ABDI BANGSA CIANJUR</v>
      </c>
      <c r="G3" s="6" t="str">
        <f>IFERROR(__xludf.DUMMYFUNCTION("""COMPUTED_VALUE"""),"Penyediaan makanan dan minuman dengan pengolahan")</f>
        <v>Penyediaan makanan dan minuman dengan pengolahan</v>
      </c>
      <c r="H3" s="6" t="str">
        <f>IFERROR(__xludf.DUMMYFUNCTION("""COMPUTED_VALUE"""),"Senin, 05 Januari 2026")</f>
        <v>Senin, 05 Januari 2026</v>
      </c>
      <c r="I3" s="6" t="str">
        <f>IFERROR(__xludf.DUMMYFUNCTION("""COMPUTED_VALUE"""),"001")</f>
        <v>001</v>
      </c>
      <c r="J3" s="6" t="str">
        <f>IFERROR(__xludf.DUMMYFUNCTION("""COMPUTED_VALUE"""),"-")</f>
        <v>-</v>
      </c>
      <c r="K3" s="7" t="str">
        <f>IFERROR(__xludf.DUMMYFUNCTION("""COMPUTED_VALUE"""),"https://drive.google.com/file/d/1ZFUcf6p0DgVOsfOM7cW-dM7Iade-xfDW/view?usp=drivesdk")</f>
        <v>https://drive.google.com/file/d/1ZFUcf6p0DgVOsfOM7cW-dM7Iade-xfDW/view?usp=drivesdk</v>
      </c>
      <c r="L3" s="6" t="str">
        <f>IFERROR(__xludf.DUMMYFUNCTION("""COMPUTED_VALUE"""),"-")</f>
        <v>-</v>
      </c>
      <c r="M3" s="6" t="str">
        <f>IFERROR(__xludf.DUMMYFUNCTION("""COMPUTED_VALUE"""),"-")</f>
        <v>-</v>
      </c>
    </row>
    <row r="4">
      <c r="A4" s="2" t="s">
        <v>15</v>
      </c>
      <c r="B4" s="3" t="s">
        <v>16</v>
      </c>
      <c r="C4" s="4"/>
      <c r="D4" s="6">
        <f>IFERROR(__xludf.DUMMYFUNCTION("""COMPUTED_VALUE"""),2.0)</f>
        <v>2</v>
      </c>
      <c r="E4" s="6" t="str">
        <f>IFERROR(__xludf.DUMMYFUNCTION("""COMPUTED_VALUE"""),"SH2025-1-1285074")</f>
        <v>SH2025-1-1285074</v>
      </c>
      <c r="F4" s="6" t="str">
        <f>IFERROR(__xludf.DUMMYFUNCTION("""COMPUTED_VALUE"""),"AYAM GORENG HAPPY")</f>
        <v>AYAM GORENG HAPPY</v>
      </c>
      <c r="G4" s="6" t="str">
        <f>IFERROR(__xludf.DUMMYFUNCTION("""COMPUTED_VALUE"""),"Penyediaan makanan dan minuman dengan pengolahan")</f>
        <v>Penyediaan makanan dan minuman dengan pengolahan</v>
      </c>
      <c r="H4" s="6" t="str">
        <f>IFERROR(__xludf.DUMMYFUNCTION("""COMPUTED_VALUE"""),"12 Januari 2026")</f>
        <v>12 Januari 2026</v>
      </c>
      <c r="I4" s="6" t="str">
        <f>IFERROR(__xludf.DUMMYFUNCTION("""COMPUTED_VALUE"""),"003")</f>
        <v>003</v>
      </c>
      <c r="J4" s="6" t="str">
        <f>IFERROR(__xludf.DUMMYFUNCTION("""COMPUTED_VALUE"""),"004")</f>
        <v>004</v>
      </c>
      <c r="K4" s="7" t="str">
        <f>IFERROR(__xludf.DUMMYFUNCTION("""COMPUTED_VALUE"""),"https://drive.google.com/file/d/1KMrRNa_ycmsWkJAcCkLu4RZQHPh2pJQt/view?usp=drivesdk")</f>
        <v>https://drive.google.com/file/d/1KMrRNa_ycmsWkJAcCkLu4RZQHPh2pJQt/view?usp=drivesdk</v>
      </c>
      <c r="L4" s="7" t="str">
        <f>IFERROR(__xludf.DUMMYFUNCTION("""COMPUTED_VALUE"""),"https://drive.google.com/file/d/1R__xp8_dTVJXL2pAOX3wDQ7xCcclToLO/view?usp=drivesdk")</f>
        <v>https://drive.google.com/file/d/1R__xp8_dTVJXL2pAOX3wDQ7xCcclToLO/view?usp=drivesdk</v>
      </c>
      <c r="M4" s="6" t="str">
        <f>IFERROR(__xludf.DUMMYFUNCTION("""COMPUTED_VALUE"""),"-")</f>
        <v>-</v>
      </c>
    </row>
    <row r="5">
      <c r="A5" s="2" t="s">
        <v>17</v>
      </c>
      <c r="B5" s="3" t="s">
        <v>18</v>
      </c>
      <c r="C5" s="4"/>
      <c r="D5" s="6">
        <f>IFERROR(__xludf.DUMMYFUNCTION("""COMPUTED_VALUE"""),3.0)</f>
        <v>3</v>
      </c>
      <c r="E5" s="6" t="str">
        <f>IFERROR(__xludf.DUMMYFUNCTION("""COMPUTED_VALUE"""),"SH2025-1-1229627 &amp; SH2025-1-1229611")</f>
        <v>SH2025-1-1229627 &amp; SH2025-1-1229611</v>
      </c>
      <c r="F5" s="6" t="str">
        <f>IFERROR(__xludf.DUMMYFUNCTION("""COMPUTED_VALUE"""),"WILLIEM")</f>
        <v>WILLIEM</v>
      </c>
      <c r="G5" s="6" t="str">
        <f>IFERROR(__xludf.DUMMYFUNCTION("""COMPUTED_VALUE"""),"Penyediaan makanan dan minuman dengan pengolahan")</f>
        <v>Penyediaan makanan dan minuman dengan pengolahan</v>
      </c>
      <c r="H5" s="6" t="str">
        <f>IFERROR(__xludf.DUMMYFUNCTION("""COMPUTED_VALUE"""),"13 Januari 2026")</f>
        <v>13 Januari 2026</v>
      </c>
      <c r="I5" s="6" t="str">
        <f>IFERROR(__xludf.DUMMYFUNCTION("""COMPUTED_VALUE"""),"005")</f>
        <v>005</v>
      </c>
      <c r="J5" s="6" t="str">
        <f>IFERROR(__xludf.DUMMYFUNCTION("""COMPUTED_VALUE"""),"006")</f>
        <v>006</v>
      </c>
      <c r="K5" s="7" t="str">
        <f>IFERROR(__xludf.DUMMYFUNCTION("""COMPUTED_VALUE"""),"https://drive.google.com/file/d/1bNtn-QSUAw5p5SbyWezC8LTmOc8u--_6/view?usp=drivesdk")</f>
        <v>https://drive.google.com/file/d/1bNtn-QSUAw5p5SbyWezC8LTmOc8u--_6/view?usp=drivesdk</v>
      </c>
      <c r="L5" s="7" t="str">
        <f>IFERROR(__xludf.DUMMYFUNCTION("""COMPUTED_VALUE"""),"https://drive.google.com/file/d/1nDq7pfwtVf5j9924MCxu2YDsbBqvnVa0/view?usp=drivesdk")</f>
        <v>https://drive.google.com/file/d/1nDq7pfwtVf5j9924MCxu2YDsbBqvnVa0/view?usp=drivesdk</v>
      </c>
      <c r="M5" s="6" t="str">
        <f>IFERROR(__xludf.DUMMYFUNCTION("""COMPUTED_VALUE"""),"-")</f>
        <v>-</v>
      </c>
    </row>
    <row r="6">
      <c r="A6" s="8" t="s">
        <v>19</v>
      </c>
      <c r="B6" s="3" t="s">
        <v>20</v>
      </c>
      <c r="C6" s="4"/>
      <c r="D6" s="6">
        <f>IFERROR(__xludf.DUMMYFUNCTION("""COMPUTED_VALUE"""),4.0)</f>
        <v>4</v>
      </c>
      <c r="E6" s="6" t="str">
        <f>IFERROR(__xludf.DUMMYFUNCTION("""COMPUTED_VALUE"""),"SH2025-1-1222209 &amp; SH2025-1-1294564")</f>
        <v>SH2025-1-1222209 &amp; SH2025-1-1294564</v>
      </c>
      <c r="F6" s="6" t="str">
        <f>IFERROR(__xludf.DUMMYFUNCTION("""COMPUTED_VALUE"""),"HJ MARDIAH DAN HJ CHALIMAH")</f>
        <v>HJ MARDIAH DAN HJ CHALIMAH</v>
      </c>
      <c r="G6" s="6" t="str">
        <f>IFERROR(__xludf.DUMMYFUNCTION("""COMPUTED_VALUE"""),"Penyediaan makanan dan minuman dengan pengolahan")</f>
        <v>Penyediaan makanan dan minuman dengan pengolahan</v>
      </c>
      <c r="H6" s="6" t="str">
        <f>IFERROR(__xludf.DUMMYFUNCTION("""COMPUTED_VALUE"""),"13 Januari 2026")</f>
        <v>13 Januari 2026</v>
      </c>
      <c r="I6" s="6" t="str">
        <f>IFERROR(__xludf.DUMMYFUNCTION("""COMPUTED_VALUE"""),"007")</f>
        <v>007</v>
      </c>
      <c r="J6" s="6" t="str">
        <f>IFERROR(__xludf.DUMMYFUNCTION("""COMPUTED_VALUE"""),"008")</f>
        <v>008</v>
      </c>
      <c r="K6" s="7" t="str">
        <f>IFERROR(__xludf.DUMMYFUNCTION("""COMPUTED_VALUE"""),"https://drive.google.com/file/d/18mbQJ34IgPjyPTYprHIBlBZBK_lIETZZ/view?usp=drivesdk")</f>
        <v>https://drive.google.com/file/d/18mbQJ34IgPjyPTYprHIBlBZBK_lIETZZ/view?usp=drivesdk</v>
      </c>
      <c r="L6" s="7" t="str">
        <f>IFERROR(__xludf.DUMMYFUNCTION("""COMPUTED_VALUE"""),"https://drive.google.com/file/d/19ZnHJ9lerPnyc5mB7DTyuLt-FLN_QWVF/view?usp=drivesdk")</f>
        <v>https://drive.google.com/file/d/19ZnHJ9lerPnyc5mB7DTyuLt-FLN_QWVF/view?usp=drivesdk</v>
      </c>
      <c r="M6" s="7" t="str">
        <f>IFERROR(__xludf.DUMMYFUNCTION("""COMPUTED_VALUE"""),"https://drive.google.com/file/d/1oOnyGXeXoXKrNIuqHafEmSSaZKkRzgUS/view?usp=drivesdk")</f>
        <v>https://drive.google.com/file/d/1oOnyGXeXoXKrNIuqHafEmSSaZKkRzgUS/view?usp=drivesdk</v>
      </c>
    </row>
    <row r="7">
      <c r="A7" s="8" t="s">
        <v>21</v>
      </c>
      <c r="B7" s="3" t="s">
        <v>22</v>
      </c>
      <c r="C7" s="4"/>
      <c r="D7" s="6">
        <f>IFERROR(__xludf.DUMMYFUNCTION("""COMPUTED_VALUE"""),5.0)</f>
        <v>5</v>
      </c>
      <c r="E7" s="6" t="str">
        <f>IFERROR(__xludf.DUMMYFUNCTION("""COMPUTED_VALUE"""),"-")</f>
        <v>-</v>
      </c>
      <c r="F7" s="6" t="str">
        <f>IFERROR(__xludf.DUMMYFUNCTION("""COMPUTED_VALUE"""),"Ati Herawati")</f>
        <v>Ati Herawati</v>
      </c>
      <c r="G7" s="6" t="str">
        <f>IFERROR(__xludf.DUMMYFUNCTION("""COMPUTED_VALUE"""),"Penyediaan makanan dan minuman dengan pengolahan")</f>
        <v>Penyediaan makanan dan minuman dengan pengolahan</v>
      </c>
      <c r="H7" s="6" t="str">
        <f>IFERROR(__xludf.DUMMYFUNCTION("""COMPUTED_VALUE"""),"16 Januari 2026")</f>
        <v>16 Januari 2026</v>
      </c>
      <c r="I7" s="6" t="str">
        <f>IFERROR(__xludf.DUMMYFUNCTION("""COMPUTED_VALUE"""),"011")</f>
        <v>011</v>
      </c>
      <c r="J7" s="6" t="str">
        <f>IFERROR(__xludf.DUMMYFUNCTION("""COMPUTED_VALUE"""),"012")</f>
        <v>012</v>
      </c>
      <c r="K7" s="7" t="str">
        <f>IFERROR(__xludf.DUMMYFUNCTION("""COMPUTED_VALUE"""),"https://drive.google.com/file/d/1Kqn4wUTTgnQk6aBtPcgSb4mTNU2qPqud/view?usp=drivesdk")</f>
        <v>https://drive.google.com/file/d/1Kqn4wUTTgnQk6aBtPcgSb4mTNU2qPqud/view?usp=drivesdk</v>
      </c>
      <c r="L7" s="7" t="str">
        <f>IFERROR(__xludf.DUMMYFUNCTION("""COMPUTED_VALUE"""),"https://drive.google.com/file/d/11Thgeqzfi64B1BxZNgV78wJy7IfBVNcC/view?usp=drivesdk")</f>
        <v>https://drive.google.com/file/d/11Thgeqzfi64B1BxZNgV78wJy7IfBVNcC/view?usp=drivesdk</v>
      </c>
      <c r="M7" s="7" t="str">
        <f>IFERROR(__xludf.DUMMYFUNCTION("""COMPUTED_VALUE"""),"https://drive.google.com/file/d/1V46lkaevxowm7i383cQEaXb5pvpn6CGI/view?usp=drivesdk")</f>
        <v>https://drive.google.com/file/d/1V46lkaevxowm7i383cQEaXb5pvpn6CGI/view?usp=drivesdk</v>
      </c>
    </row>
    <row r="8">
      <c r="C8" s="4"/>
      <c r="D8" s="6">
        <f>IFERROR(__xludf.DUMMYFUNCTION("""COMPUTED_VALUE"""),6.0)</f>
        <v>6</v>
      </c>
      <c r="E8" s="6" t="str">
        <f>IFERROR(__xludf.DUMMYFUNCTION("""COMPUTED_VALUE"""),"-")</f>
        <v>-</v>
      </c>
      <c r="F8" s="6" t="str">
        <f>IFERROR(__xludf.DUMMYFUNCTION("""COMPUTED_VALUE"""),"Yovita Kristi Handayani")</f>
        <v>Yovita Kristi Handayani</v>
      </c>
      <c r="G8" s="6" t="str">
        <f>IFERROR(__xludf.DUMMYFUNCTION("""COMPUTED_VALUE"""),"Penyediaan makanan dan minuman dengan pengolahan")</f>
        <v>Penyediaan makanan dan minuman dengan pengolahan</v>
      </c>
      <c r="H8" s="6" t="str">
        <f>IFERROR(__xludf.DUMMYFUNCTION("""COMPUTED_VALUE"""),"16 Januari 2026")</f>
        <v>16 Januari 2026</v>
      </c>
      <c r="I8" s="6" t="str">
        <f>IFERROR(__xludf.DUMMYFUNCTION("""COMPUTED_VALUE"""),"013")</f>
        <v>013</v>
      </c>
      <c r="J8" s="6" t="str">
        <f>IFERROR(__xludf.DUMMYFUNCTION("""COMPUTED_VALUE"""),"014")</f>
        <v>014</v>
      </c>
      <c r="K8" s="7" t="str">
        <f>IFERROR(__xludf.DUMMYFUNCTION("""COMPUTED_VALUE"""),"https://drive.google.com/file/d/1TWSJFmVvGJ0HenweklyZ1UNOsm_k9Rni/view?usp=drivesdk")</f>
        <v>https://drive.google.com/file/d/1TWSJFmVvGJ0HenweklyZ1UNOsm_k9Rni/view?usp=drivesdk</v>
      </c>
      <c r="L8" s="7" t="str">
        <f>IFERROR(__xludf.DUMMYFUNCTION("""COMPUTED_VALUE"""),"https://drive.google.com/file/d/1OhWLyzO9CTPDmauPhFnH3GQ5fUpEpkxc/view?usp=drivesdk")</f>
        <v>https://drive.google.com/file/d/1OhWLyzO9CTPDmauPhFnH3GQ5fUpEpkxc/view?usp=drivesdk</v>
      </c>
      <c r="M8" s="7" t="str">
        <f>IFERROR(__xludf.DUMMYFUNCTION("""COMPUTED_VALUE"""),"https://drive.google.com/file/d/1eAL6qGcUmFCr7a40zbs4HIo7dgTVMGVf/view?usp=drivesdk")</f>
        <v>https://drive.google.com/file/d/1eAL6qGcUmFCr7a40zbs4HIo7dgTVMGVf/view?usp=drivesdk</v>
      </c>
    </row>
    <row r="9">
      <c r="C9" s="4"/>
      <c r="D9" s="6">
        <f>IFERROR(__xludf.DUMMYFUNCTION("""COMPUTED_VALUE"""),7.0)</f>
        <v>7</v>
      </c>
      <c r="E9" s="6" t="str">
        <f>IFERROR(__xludf.DUMMYFUNCTION("""COMPUTED_VALUE"""),"SH2025-1-1362728")</f>
        <v>SH2025-1-1362728</v>
      </c>
      <c r="F9" s="6" t="str">
        <f>IFERROR(__xludf.DUMMYFUNCTION("""COMPUTED_VALUE"""),"AKHMAT YATIM")</f>
        <v>AKHMAT YATIM</v>
      </c>
      <c r="G9" s="6" t="str">
        <f>IFERROR(__xludf.DUMMYFUNCTION("""COMPUTED_VALUE"""),"Penyediaan Makanan dan Minuman denga pengolahan")</f>
        <v>Penyediaan Makanan dan Minuman denga pengolahan</v>
      </c>
      <c r="H9" s="6" t="str">
        <f>IFERROR(__xludf.DUMMYFUNCTION("""COMPUTED_VALUE"""),"16 Januari 2026")</f>
        <v>16 Januari 2026</v>
      </c>
      <c r="I9" s="6" t="str">
        <f>IFERROR(__xludf.DUMMYFUNCTION("""COMPUTED_VALUE"""),"015")</f>
        <v>015</v>
      </c>
      <c r="J9" s="6" t="str">
        <f>IFERROR(__xludf.DUMMYFUNCTION("""COMPUTED_VALUE"""),"016")</f>
        <v>016</v>
      </c>
      <c r="K9" s="7" t="str">
        <f>IFERROR(__xludf.DUMMYFUNCTION("""COMPUTED_VALUE"""),"https://drive.google.com/file/d/1LMxsC8EoWjmxCCiUfgFW_PnIXV0DhmyG/view?usp=drivesdk")</f>
        <v>https://drive.google.com/file/d/1LMxsC8EoWjmxCCiUfgFW_PnIXV0DhmyG/view?usp=drivesdk</v>
      </c>
      <c r="L9" s="7" t="str">
        <f>IFERROR(__xludf.DUMMYFUNCTION("""COMPUTED_VALUE"""),"https://drive.google.com/file/d/1KWuVp_CGUg6woEUb_3pjXNgu7swB_yiD/view?usp=drivesdk")</f>
        <v>https://drive.google.com/file/d/1KWuVp_CGUg6woEUb_3pjXNgu7swB_yiD/view?usp=drivesdk</v>
      </c>
      <c r="M9" s="7" t="str">
        <f>IFERROR(__xludf.DUMMYFUNCTION("""COMPUTED_VALUE"""),"https://drive.google.com/file/d/1vCg7IjM4j-VtLnxNAw1iw9ps7XtcpFye/view?usp=drivesdk")</f>
        <v>https://drive.google.com/file/d/1vCg7IjM4j-VtLnxNAw1iw9ps7XtcpFye/view?usp=drivesdk</v>
      </c>
    </row>
    <row r="10">
      <c r="A10" s="8" t="s">
        <v>23</v>
      </c>
      <c r="C10" s="4"/>
      <c r="D10" s="6">
        <f>IFERROR(__xludf.DUMMYFUNCTION("""COMPUTED_VALUE"""),8.0)</f>
        <v>8</v>
      </c>
      <c r="E10" s="6" t="str">
        <f>IFERROR(__xludf.DUMMYFUNCTION("""COMPUTED_VALUE"""),"SH2026-1-1439012")</f>
        <v>SH2026-1-1439012</v>
      </c>
      <c r="F10" s="6" t="str">
        <f>IFERROR(__xludf.DUMMYFUNCTION("""COMPUTED_VALUE"""),"INTERNATIONAL CASSAVA CENTER")</f>
        <v>INTERNATIONAL CASSAVA CENTER</v>
      </c>
      <c r="G10" s="6" t="str">
        <f>IFERROR(__xludf.DUMMYFUNCTION("""COMPUTED_VALUE"""),"Serealia dan produk serealia yang merupakan produk turunan dari biji serealia, akar dan umbi, kacang-kacangan dan empulur dengan pengolahan dan penambahan bahan tambahan pangan")</f>
        <v>Serealia dan produk serealia yang merupakan produk turunan dari biji serealia, akar dan umbi, kacang-kacangan dan empulur dengan pengolahan dan penambahan bahan tambahan pangan</v>
      </c>
      <c r="H10" s="6" t="str">
        <f>IFERROR(__xludf.DUMMYFUNCTION("""COMPUTED_VALUE"""),"23 Januari 2026")</f>
        <v>23 Januari 2026</v>
      </c>
      <c r="I10" s="6" t="str">
        <f>IFERROR(__xludf.DUMMYFUNCTION("""COMPUTED_VALUE"""),"022")</f>
        <v>022</v>
      </c>
      <c r="J10" s="6" t="str">
        <f>IFERROR(__xludf.DUMMYFUNCTION("""COMPUTED_VALUE"""),"023")</f>
        <v>023</v>
      </c>
      <c r="K10" s="7" t="str">
        <f>IFERROR(__xludf.DUMMYFUNCTION("""COMPUTED_VALUE"""),"https://drive.google.com/file/d/1Gw2w0uDLVcY_KkSf-MT7rtmYfbCM39iB/view?usp=drivesdk")</f>
        <v>https://drive.google.com/file/d/1Gw2w0uDLVcY_KkSf-MT7rtmYfbCM39iB/view?usp=drivesdk</v>
      </c>
      <c r="L10" s="7" t="str">
        <f>IFERROR(__xludf.DUMMYFUNCTION("""COMPUTED_VALUE"""),"https://drive.google.com/file/d/1Du0Y5USrE3tenMeFJ3hhDO7A2MyRv1hG/view?usp=drivesdk")</f>
        <v>https://drive.google.com/file/d/1Du0Y5USrE3tenMeFJ3hhDO7A2MyRv1hG/view?usp=drivesdk</v>
      </c>
      <c r="M10" s="7" t="str">
        <f>IFERROR(__xludf.DUMMYFUNCTION("""COMPUTED_VALUE"""),"https://drive.google.com/file/d/1EmV2uID1kM-urv4tHJkDQDTgMr_SFOA8/view?usp=drivesdk")</f>
        <v>https://drive.google.com/file/d/1EmV2uID1kM-urv4tHJkDQDTgMr_SFOA8/view?usp=drivesdk</v>
      </c>
    </row>
    <row r="11">
      <c r="A11" s="8" t="s">
        <v>24</v>
      </c>
      <c r="C11" s="4"/>
      <c r="D11" s="6">
        <f>IFERROR(__xludf.DUMMYFUNCTION("""COMPUTED_VALUE"""),9.0)</f>
        <v>9</v>
      </c>
      <c r="E11" s="6" t="str">
        <f>IFERROR(__xludf.DUMMYFUNCTION("""COMPUTED_VALUE"""),"SH2026-1-1513647")</f>
        <v>SH2026-1-1513647</v>
      </c>
      <c r="F11" s="6" t="str">
        <f>IFERROR(__xludf.DUMMYFUNCTION("""COMPUTED_VALUE"""),"KULINER PRIMA VIDYA")</f>
        <v>KULINER PRIMA VIDYA</v>
      </c>
      <c r="G11" s="6" t="str">
        <f>IFERROR(__xludf.DUMMYFUNCTION("""COMPUTED_VALUE"""),"Penyediaan Makanan dan Minuman dengan Pengolahan")</f>
        <v>Penyediaan Makanan dan Minuman dengan Pengolahan</v>
      </c>
      <c r="H11" s="6" t="str">
        <f>IFERROR(__xludf.DUMMYFUNCTION("""COMPUTED_VALUE"""),"27 Januari 2026")</f>
        <v>27 Januari 2026</v>
      </c>
      <c r="I11" s="6" t="str">
        <f>IFERROR(__xludf.DUMMYFUNCTION("""COMPUTED_VALUE"""),"025")</f>
        <v>025</v>
      </c>
      <c r="J11" s="6" t="str">
        <f>IFERROR(__xludf.DUMMYFUNCTION("""COMPUTED_VALUE"""),"026")</f>
        <v>026</v>
      </c>
      <c r="K11" s="7" t="str">
        <f>IFERROR(__xludf.DUMMYFUNCTION("""COMPUTED_VALUE"""),"https://drive.google.com/file/d/1_nVlyuw4mUxVMeG-4OfzB39uU4QW1AvY/view?usp=drivesdk")</f>
        <v>https://drive.google.com/file/d/1_nVlyuw4mUxVMeG-4OfzB39uU4QW1AvY/view?usp=drivesdk</v>
      </c>
      <c r="L11" s="7" t="str">
        <f>IFERROR(__xludf.DUMMYFUNCTION("""COMPUTED_VALUE"""),"https://drive.google.com/file/d/1aZOTuYlAPGczP1zWZZB9ro0Ru_or_5ND/view?usp=drivesdk")</f>
        <v>https://drive.google.com/file/d/1aZOTuYlAPGczP1zWZZB9ro0Ru_or_5ND/view?usp=drivesdk</v>
      </c>
      <c r="M11" s="7" t="str">
        <f>IFERROR(__xludf.DUMMYFUNCTION("""COMPUTED_VALUE"""),"https://drive.google.com/file/d/1lBgpgn_7rfhaAZ8R-Chl-xCX2JUFJJpA/view?usp=drivesdk")</f>
        <v>https://drive.google.com/file/d/1lBgpgn_7rfhaAZ8R-Chl-xCX2JUFJJpA/view?usp=drivesdk</v>
      </c>
    </row>
    <row r="12">
      <c r="C12" s="4"/>
      <c r="D12" s="6">
        <f>IFERROR(__xludf.DUMMYFUNCTION("""COMPUTED_VALUE"""),10.0)</f>
        <v>10</v>
      </c>
      <c r="E12" s="6" t="str">
        <f>IFERROR(__xludf.DUMMYFUNCTION("""COMPUTED_VALUE"""),"-")</f>
        <v>-</v>
      </c>
      <c r="F12" s="6" t="str">
        <f>IFERROR(__xludf.DUMMYFUNCTION("""COMPUTED_VALUE"""),"AYAM GORENG REMPAH MURNI ")</f>
        <v>AYAM GORENG REMPAH MURNI </v>
      </c>
      <c r="G12" s="6" t="str">
        <f>IFERROR(__xludf.DUMMYFUNCTION("""COMPUTED_VALUE"""),"Penyediaan Makanan dan Minuman dengan Pengolahan")</f>
        <v>Penyediaan Makanan dan Minuman dengan Pengolahan</v>
      </c>
      <c r="H12" s="6" t="str">
        <f>IFERROR(__xludf.DUMMYFUNCTION("""COMPUTED_VALUE"""),"27 Januari 2026")</f>
        <v>27 Januari 2026</v>
      </c>
      <c r="I12" s="6" t="str">
        <f>IFERROR(__xludf.DUMMYFUNCTION("""COMPUTED_VALUE"""),"031")</f>
        <v>031</v>
      </c>
      <c r="J12" s="6" t="str">
        <f>IFERROR(__xludf.DUMMYFUNCTION("""COMPUTED_VALUE"""),"032")</f>
        <v>032</v>
      </c>
      <c r="K12" s="7" t="str">
        <f>IFERROR(__xludf.DUMMYFUNCTION("""COMPUTED_VALUE"""),"https://drive.google.com/file/d/1fMdn4sTK4TohyLHdThlTMFGs0Vb5ds8C/view?usp=drivesdk")</f>
        <v>https://drive.google.com/file/d/1fMdn4sTK4TohyLHdThlTMFGs0Vb5ds8C/view?usp=drivesdk</v>
      </c>
      <c r="L12" s="7" t="str">
        <f>IFERROR(__xludf.DUMMYFUNCTION("""COMPUTED_VALUE"""),"https://drive.google.com/file/d/1qpQRin7aMkcWvSd-FqtelOELpegJp3lW/view?usp=drivesdk")</f>
        <v>https://drive.google.com/file/d/1qpQRin7aMkcWvSd-FqtelOELpegJp3lW/view?usp=drivesdk</v>
      </c>
      <c r="M12" s="7" t="str">
        <f>IFERROR(__xludf.DUMMYFUNCTION("""COMPUTED_VALUE"""),"https://drive.google.com/file/d/1CaN36IWi0YumxZCgUaeuLhXNldd7zqTr/view?usp=drivesdk")</f>
        <v>https://drive.google.com/file/d/1CaN36IWi0YumxZCgUaeuLhXNldd7zqTr/view?usp=drivesdk</v>
      </c>
    </row>
    <row r="13">
      <c r="A13" s="9" t="s">
        <v>25</v>
      </c>
      <c r="B13" s="10"/>
      <c r="C13" s="4"/>
      <c r="D13" s="6">
        <f>IFERROR(__xludf.DUMMYFUNCTION("""COMPUTED_VALUE"""),11.0)</f>
        <v>11</v>
      </c>
      <c r="E13" s="6" t="str">
        <f>IFERROR(__xludf.DUMMYFUNCTION("""COMPUTED_VALUE"""),"-")</f>
        <v>-</v>
      </c>
      <c r="F13" s="6" t="str">
        <f>IFERROR(__xludf.DUMMYFUNCTION("""COMPUTED_VALUE"""),"AMELISAH BAKSO HUHAHUHA")</f>
        <v>AMELISAH BAKSO HUHAHUHA</v>
      </c>
      <c r="G13" s="6" t="str">
        <f>IFERROR(__xludf.DUMMYFUNCTION("""COMPUTED_VALUE"""),"Olahan Daging ")</f>
        <v>Olahan Daging </v>
      </c>
      <c r="H13" s="6" t="str">
        <f>IFERROR(__xludf.DUMMYFUNCTION("""COMPUTED_VALUE"""),"27 Januari 2026")</f>
        <v>27 Januari 2026</v>
      </c>
      <c r="I13" s="6" t="str">
        <f>IFERROR(__xludf.DUMMYFUNCTION("""COMPUTED_VALUE"""),"033")</f>
        <v>033</v>
      </c>
      <c r="J13" s="6" t="str">
        <f>IFERROR(__xludf.DUMMYFUNCTION("""COMPUTED_VALUE"""),"034")</f>
        <v>034</v>
      </c>
      <c r="K13" s="7" t="str">
        <f>IFERROR(__xludf.DUMMYFUNCTION("""COMPUTED_VALUE"""),"https://drive.google.com/file/d/1h6Wf4fgvQ0i7LON41MNaOGA6aiPjJWea/view?usp=drivesdk")</f>
        <v>https://drive.google.com/file/d/1h6Wf4fgvQ0i7LON41MNaOGA6aiPjJWea/view?usp=drivesdk</v>
      </c>
      <c r="L13" s="7" t="str">
        <f>IFERROR(__xludf.DUMMYFUNCTION("""COMPUTED_VALUE"""),"https://drive.google.com/file/d/1PuLHl5UfEC558pBz-CPIJzb3idJpVhNT/view?usp=drivesdk")</f>
        <v>https://drive.google.com/file/d/1PuLHl5UfEC558pBz-CPIJzb3idJpVhNT/view?usp=drivesdk</v>
      </c>
      <c r="M13" s="7" t="str">
        <f>IFERROR(__xludf.DUMMYFUNCTION("""COMPUTED_VALUE"""),"https://drive.google.com/file/d/1EJ9d3xUBpV6Pe27m7mLEkegOfeXLKQwQ/view?usp=drivesdk")</f>
        <v>https://drive.google.com/file/d/1EJ9d3xUBpV6Pe27m7mLEkegOfeXLKQwQ/view?usp=drivesdk</v>
      </c>
    </row>
    <row r="14">
      <c r="A14" s="11" t="str">
        <f>IFERROR(__xludf.DUMMYFUNCTION("IMPORTRANGE(""1nG75OID3lR6GaIjGYcvM5Th1MYNQSYExRI5e7rLR8G4"", ""B1:C200"")
"),"Nomor Surat")</f>
        <v>Nomor Surat</v>
      </c>
      <c r="B14" s="11" t="str">
        <f>IFERROR(__xludf.DUMMYFUNCTION("""COMPUTED_VALUE"""),"Nama Dokumen")</f>
        <v>Nama Dokumen</v>
      </c>
      <c r="C14" s="4"/>
      <c r="D14" s="6">
        <f>IFERROR(__xludf.DUMMYFUNCTION("""COMPUTED_VALUE"""),12.0)</f>
        <v>12</v>
      </c>
      <c r="E14" s="6" t="str">
        <f>IFERROR(__xludf.DUMMYFUNCTION("""COMPUTED_VALUE"""),"SH2026-1-1500614")</f>
        <v>SH2026-1-1500614</v>
      </c>
      <c r="F14" s="6" t="str">
        <f>IFERROR(__xludf.DUMMYFUNCTION("""COMPUTED_VALUE"""),"AKHIDIN S")</f>
        <v>AKHIDIN S</v>
      </c>
      <c r="G14" s="6" t="str">
        <f>IFERROR(__xludf.DUMMYFUNCTION("""COMPUTED_VALUE"""),"Es untuk dimakan (edible ice) termasuk sherbet dan sorbetk")</f>
        <v>Es untuk dimakan (edible ice) termasuk sherbet dan sorbetk</v>
      </c>
      <c r="H14" s="6" t="str">
        <f>IFERROR(__xludf.DUMMYFUNCTION("""COMPUTED_VALUE"""),"27 Januari 2026")</f>
        <v>27 Januari 2026</v>
      </c>
      <c r="I14" s="6" t="str">
        <f>IFERROR(__xludf.DUMMYFUNCTION("""COMPUTED_VALUE"""),"035")</f>
        <v>035</v>
      </c>
      <c r="J14" s="6" t="str">
        <f>IFERROR(__xludf.DUMMYFUNCTION("""COMPUTED_VALUE"""),"036")</f>
        <v>036</v>
      </c>
      <c r="K14" s="12" t="str">
        <f>IFERROR(__xludf.DUMMYFUNCTION("""COMPUTED_VALUE"""),"https://drive.google.com/file/d/1W1s0UGYXGyDGaF15VWoVQPUthx0P6BQV/view?usp=drivesdk")</f>
        <v>https://drive.google.com/file/d/1W1s0UGYXGyDGaF15VWoVQPUthx0P6BQV/view?usp=drivesdk</v>
      </c>
      <c r="L14" s="7" t="str">
        <f>IFERROR(__xludf.DUMMYFUNCTION("""COMPUTED_VALUE"""),"https://drive.google.com/file/d/1zWpL7nFgtPQeot6jNZ7OIHtJS0WlH5ov/view?usp=drivesdk")</f>
        <v>https://drive.google.com/file/d/1zWpL7nFgtPQeot6jNZ7OIHtJS0WlH5ov/view?usp=drivesdk</v>
      </c>
      <c r="M14" s="7" t="str">
        <f>IFERROR(__xludf.DUMMYFUNCTION("""COMPUTED_VALUE"""),"https://drive.google.com/file/d/1nMoZWaJNl321J7t_P5hfLfAe7V58PrKG/view?usp=drivesdk")</f>
        <v>https://drive.google.com/file/d/1nMoZWaJNl321J7t_P5hfLfAe7V58PrKG/view?usp=drivesdk</v>
      </c>
    </row>
    <row r="15">
      <c r="A15" s="6" t="str">
        <f>IFERROR(__xludf.DUMMYFUNCTION("""COMPUTED_VALUE"""),"001/SE/LPH/I/2026")</f>
        <v>001/SE/LPH/I/2026</v>
      </c>
      <c r="B15" s="6" t="str">
        <f>IFERROR(__xludf.DUMMYFUNCTION("""COMPUTED_VALUE"""),"SURAT TUGAS AUDIT ")</f>
        <v>SURAT TUGAS AUDIT </v>
      </c>
      <c r="C15" s="4"/>
      <c r="D15" s="6">
        <f>IFERROR(__xludf.DUMMYFUNCTION("""COMPUTED_VALUE"""),13.0)</f>
        <v>13</v>
      </c>
      <c r="E15" s="13" t="str">
        <f>IFERROR(__xludf.DUMMYFUNCTION("""COMPUTED_VALUE"""),"SH2026-1-1496657")</f>
        <v>SH2026-1-1496657</v>
      </c>
      <c r="F15" s="6" t="str">
        <f>IFERROR(__xludf.DUMMYFUNCTION("""COMPUTED_VALUE"""),"MAT CHOLIL")</f>
        <v>MAT CHOLIL</v>
      </c>
      <c r="G15" s="6" t="str">
        <f>IFERROR(__xludf.DUMMYFUNCTION("""COMPUTED_VALUE"""),"Penyediaan Makanan dan Minuman dengan Pengolahan")</f>
        <v>Penyediaan Makanan dan Minuman dengan Pengolahan</v>
      </c>
      <c r="H15" s="6" t="str">
        <f>IFERROR(__xludf.DUMMYFUNCTION("""COMPUTED_VALUE"""),"5 Februari 2026")</f>
        <v>5 Februari 2026</v>
      </c>
      <c r="I15" s="6" t="str">
        <f>IFERROR(__xludf.DUMMYFUNCTION("""COMPUTED_VALUE"""),"037")</f>
        <v>037</v>
      </c>
      <c r="J15" s="6" t="str">
        <f>IFERROR(__xludf.DUMMYFUNCTION("""COMPUTED_VALUE"""),"038")</f>
        <v>038</v>
      </c>
      <c r="K15" s="7" t="str">
        <f>IFERROR(__xludf.DUMMYFUNCTION("""COMPUTED_VALUE"""),"https://drive.google.com/file/d/1tqg56ZGG39ZZ1K_seOhHNdssuFT5sqFO/view?usp=drivesdk")</f>
        <v>https://drive.google.com/file/d/1tqg56ZGG39ZZ1K_seOhHNdssuFT5sqFO/view?usp=drivesdk</v>
      </c>
      <c r="L15" s="7" t="str">
        <f>IFERROR(__xludf.DUMMYFUNCTION("""COMPUTED_VALUE"""),"https://drive.google.com/file/d/1xQkdZOtM_k0BXNw2u5SBVgUIOL8mz057/view?usp=drivesdk")</f>
        <v>https://drive.google.com/file/d/1xQkdZOtM_k0BXNw2u5SBVgUIOL8mz057/view?usp=drivesdk</v>
      </c>
      <c r="M15" s="7" t="str">
        <f>IFERROR(__xludf.DUMMYFUNCTION("""COMPUTED_VALUE"""),"https://drive.google.com/file/d/1_T6BlQMNzeu3tg6Ba3Ep_jjv3pBl-yuA/view?usp=drivesdk")</f>
        <v>https://drive.google.com/file/d/1_T6BlQMNzeu3tg6Ba3Ep_jjv3pBl-yuA/view?usp=drivesdk</v>
      </c>
    </row>
    <row r="16">
      <c r="A16" s="6" t="str">
        <f>IFERROR(__xludf.DUMMYFUNCTION("""COMPUTED_VALUE"""),"002/SPK-UINJKT-PU/I/2026")</f>
        <v>002/SPK-UINJKT-PU/I/2026</v>
      </c>
      <c r="B16" s="6" t="str">
        <f>IFERROR(__xludf.DUMMYFUNCTION("""COMPUTED_VALUE"""),"SURAT PERJANJIAN KERJASAMA PEMERIKSAAN LPH DENGAN PU")</f>
        <v>SURAT PERJANJIAN KERJASAMA PEMERIKSAAN LPH DENGAN PU</v>
      </c>
      <c r="C16" s="4"/>
      <c r="D16" s="6">
        <f>IFERROR(__xludf.DUMMYFUNCTION("""COMPUTED_VALUE"""),14.0)</f>
        <v>14</v>
      </c>
      <c r="E16" s="6" t="str">
        <f>IFERROR(__xludf.DUMMYFUNCTION("""COMPUTED_VALUE"""),"SH2026-1-1657788")</f>
        <v>SH2026-1-1657788</v>
      </c>
      <c r="F16" s="6" t="str">
        <f>IFERROR(__xludf.DUMMYFUNCTION("""COMPUTED_VALUE"""),"HERRY CHANDRA")</f>
        <v>HERRY CHANDRA</v>
      </c>
      <c r="G16" s="6" t="str">
        <f>IFERROR(__xludf.DUMMYFUNCTION("""COMPUTED_VALUE"""),"Olahan Daging ")</f>
        <v>Olahan Daging </v>
      </c>
      <c r="H16" s="6" t="str">
        <f>IFERROR(__xludf.DUMMYFUNCTION("""COMPUTED_VALUE"""),"14 Februari 2026")</f>
        <v>14 Februari 2026</v>
      </c>
      <c r="I16" s="6" t="str">
        <f>IFERROR(__xludf.DUMMYFUNCTION("""COMPUTED_VALUE"""),"046")</f>
        <v>046</v>
      </c>
      <c r="J16" s="6" t="str">
        <f>IFERROR(__xludf.DUMMYFUNCTION("""COMPUTED_VALUE"""),"047")</f>
        <v>047</v>
      </c>
      <c r="K16" s="7" t="str">
        <f>IFERROR(__xludf.DUMMYFUNCTION("""COMPUTED_VALUE"""),"https://drive.google.com/file/d/1cuY62xbd05v1qjU5qJlsZc-wLoImc0Jz/view?usp=drivesdk")</f>
        <v>https://drive.google.com/file/d/1cuY62xbd05v1qjU5qJlsZc-wLoImc0Jz/view?usp=drivesdk</v>
      </c>
      <c r="L16" s="7" t="str">
        <f>IFERROR(__xludf.DUMMYFUNCTION("""COMPUTED_VALUE"""),"https://drive.google.com/file/d/14s0nVWbh4jO3iwSRCOG5WGlRVZeRv1dk/view?usp=drivesdk")</f>
        <v>https://drive.google.com/file/d/14s0nVWbh4jO3iwSRCOG5WGlRVZeRv1dk/view?usp=drivesdk</v>
      </c>
      <c r="M16" s="7" t="str">
        <f>IFERROR(__xludf.DUMMYFUNCTION("""COMPUTED_VALUE"""),"https://drive.google.com/file/d/1Ndmr1jG1KR-hNUvR4kTOT3hwjPvwTpNB/view?usp=drivesdk")</f>
        <v>https://drive.google.com/file/d/1Ndmr1jG1KR-hNUvR4kTOT3hwjPvwTpNB/view?usp=drivesdk</v>
      </c>
    </row>
    <row r="17">
      <c r="A17" s="6" t="str">
        <f>IFERROR(__xludf.DUMMYFUNCTION("""COMPUTED_VALUE"""),"003/SE/LPH/I/2026")</f>
        <v>003/SE/LPH/I/2026</v>
      </c>
      <c r="B17" s="6" t="str">
        <f>IFERROR(__xludf.DUMMYFUNCTION("""COMPUTED_VALUE"""),"SURAT TUGAS AUDIT ")</f>
        <v>SURAT TUGAS AUDIT </v>
      </c>
      <c r="C17" s="4"/>
      <c r="D17" s="6">
        <f>IFERROR(__xludf.DUMMYFUNCTION("""COMPUTED_VALUE"""),15.0)</f>
        <v>15</v>
      </c>
      <c r="E17" s="6" t="str">
        <f>IFERROR(__xludf.DUMMYFUNCTION("""COMPUTED_VALUE"""),"SH2026-1-1679468")</f>
        <v>SH2026-1-1679468</v>
      </c>
      <c r="F17" s="6" t="str">
        <f>IFERROR(__xludf.DUMMYFUNCTION("""COMPUTED_VALUE"""),"PT. SEHATI BERSAMA ABADI")</f>
        <v>PT. SEHATI BERSAMA ABADI</v>
      </c>
      <c r="G17" s="6" t="str">
        <f>IFERROR(__xludf.DUMMYFUNCTION("""COMPUTED_VALUE"""),"Daging dan Produk Olahan Daging")</f>
        <v>Daging dan Produk Olahan Daging</v>
      </c>
      <c r="H17" s="6" t="str">
        <f>IFERROR(__xludf.DUMMYFUNCTION("""COMPUTED_VALUE"""),"19 Februari 2026")</f>
        <v>19 Februari 2026</v>
      </c>
      <c r="I17" s="6" t="str">
        <f>IFERROR(__xludf.DUMMYFUNCTION("""COMPUTED_VALUE"""),"048")</f>
        <v>048</v>
      </c>
      <c r="J17" s="6" t="str">
        <f>IFERROR(__xludf.DUMMYFUNCTION("""COMPUTED_VALUE"""),"049")</f>
        <v>049</v>
      </c>
      <c r="K17" s="7" t="str">
        <f>IFERROR(__xludf.DUMMYFUNCTION("""COMPUTED_VALUE"""),"https://drive.google.com/file/d/1apABu_A74AjS3lKScd-aYtCfUjm3j51y/view?usp=drivesdk")</f>
        <v>https://drive.google.com/file/d/1apABu_A74AjS3lKScd-aYtCfUjm3j51y/view?usp=drivesdk</v>
      </c>
      <c r="L17" s="7" t="str">
        <f>IFERROR(__xludf.DUMMYFUNCTION("""COMPUTED_VALUE"""),"https://drive.google.com/file/d/1XlXDQuPlWYOruogKVsJajdpeyou06Cjz/view?usp=drivesdk")</f>
        <v>https://drive.google.com/file/d/1XlXDQuPlWYOruogKVsJajdpeyou06Cjz/view?usp=drivesdk</v>
      </c>
      <c r="M17" s="7" t="str">
        <f>IFERROR(__xludf.DUMMYFUNCTION("""COMPUTED_VALUE"""),"https://drive.google.com/file/d/1ZJiKy3Mj7kVlaoH3jcCiei8gj_Km3PNB/view?usp=drivesdk")</f>
        <v>https://drive.google.com/file/d/1ZJiKy3Mj7kVlaoH3jcCiei8gj_Km3PNB/view?usp=drivesdk</v>
      </c>
    </row>
    <row r="18">
      <c r="A18" s="6" t="str">
        <f>IFERROR(__xludf.DUMMYFUNCTION("""COMPUTED_VALUE"""),"004/SPK-UINJKT-PU/I/2026")</f>
        <v>004/SPK-UINJKT-PU/I/2026</v>
      </c>
      <c r="B18" s="6" t="str">
        <f>IFERROR(__xludf.DUMMYFUNCTION("""COMPUTED_VALUE"""),"SURAT PERJANJIAN KERJASAMA PEMERIKSAAN LPH DENGAN PU")</f>
        <v>SURAT PERJANJIAN KERJASAMA PEMERIKSAAN LPH DENGAN PU</v>
      </c>
      <c r="C18" s="4"/>
      <c r="D18" s="6">
        <f>IFERROR(__xludf.DUMMYFUNCTION("""COMPUTED_VALUE"""),16.0)</f>
        <v>16</v>
      </c>
      <c r="E18" s="6" t="str">
        <f>IFERROR(__xludf.DUMMYFUNCTION("""COMPUTED_VALUE"""),"SH2026-1-1697603")</f>
        <v>SH2026-1-1697603</v>
      </c>
      <c r="F18" s="6" t="str">
        <f>IFERROR(__xludf.DUMMYFUNCTION("""COMPUTED_VALUE"""),"SAKIKO TERUS JAYA")</f>
        <v>SAKIKO TERUS JAYA</v>
      </c>
      <c r="G18" s="6" t="str">
        <f>IFERROR(__xludf.DUMMYFUNCTION("""COMPUTED_VALUE"""),"Jasa pendistribusian")</f>
        <v>Jasa pendistribusian</v>
      </c>
      <c r="H18" s="6" t="str">
        <f>IFERROR(__xludf.DUMMYFUNCTION("""COMPUTED_VALUE"""),"19 Febuari 2026")</f>
        <v>19 Febuari 2026</v>
      </c>
      <c r="I18" s="6" t="str">
        <f>IFERROR(__xludf.DUMMYFUNCTION("""COMPUTED_VALUE"""),"049")</f>
        <v>049</v>
      </c>
      <c r="J18" s="6" t="str">
        <f>IFERROR(__xludf.DUMMYFUNCTION("""COMPUTED_VALUE"""),"050")</f>
        <v>050</v>
      </c>
      <c r="K18" s="7" t="str">
        <f>IFERROR(__xludf.DUMMYFUNCTION("""COMPUTED_VALUE"""),"https://drive.google.com/file/d/1ntoA4I2mDzS7tyMzD9MhIymH0Xq69Pov/view?usp=drivesdk")</f>
        <v>https://drive.google.com/file/d/1ntoA4I2mDzS7tyMzD9MhIymH0Xq69Pov/view?usp=drivesdk</v>
      </c>
      <c r="L18" s="7" t="str">
        <f>IFERROR(__xludf.DUMMYFUNCTION("""COMPUTED_VALUE"""),"https://drive.google.com/file/d/1zsAebtBw93pQxGN_61vwYG_3ArKb4jDb/view?usp=drivesdk")</f>
        <v>https://drive.google.com/file/d/1zsAebtBw93pQxGN_61vwYG_3ArKb4jDb/view?usp=drivesdk</v>
      </c>
      <c r="M18" s="7" t="str">
        <f>IFERROR(__xludf.DUMMYFUNCTION("""COMPUTED_VALUE"""),"https://drive.google.com/file/d/15wPMAgHby5rfcww2JYpRJxsMid9gx0C2/view?usp=drivesdk")</f>
        <v>https://drive.google.com/file/d/15wPMAgHby5rfcww2JYpRJxsMid9gx0C2/view?usp=drivesdk</v>
      </c>
    </row>
    <row r="19">
      <c r="A19" s="6" t="str">
        <f>IFERROR(__xludf.DUMMYFUNCTION("""COMPUTED_VALUE"""),"005/SE/LPH/I/2026")</f>
        <v>005/SE/LPH/I/2026</v>
      </c>
      <c r="B19" s="6" t="str">
        <f>IFERROR(__xludf.DUMMYFUNCTION("""COMPUTED_VALUE"""),"SURAT TUGAS AUDIT ")</f>
        <v>SURAT TUGAS AUDIT </v>
      </c>
      <c r="C19" s="4"/>
      <c r="D19" s="6">
        <f>IFERROR(__xludf.DUMMYFUNCTION("""COMPUTED_VALUE"""),17.0)</f>
        <v>17</v>
      </c>
      <c r="E19" s="6" t="str">
        <f>IFERROR(__xludf.DUMMYFUNCTION("""COMPUTED_VALUE"""),"SH2024-1-517842")</f>
        <v>SH2024-1-517842</v>
      </c>
      <c r="F19" s="6" t="str">
        <f>IFERROR(__xludf.DUMMYFUNCTION("""COMPUTED_VALUE"""),"DRA WARDATUL ASRIAH")</f>
        <v>DRA WARDATUL ASRIAH</v>
      </c>
      <c r="G19" s="6" t="str">
        <f>IFERROR(__xludf.DUMMYFUNCTION("""COMPUTED_VALUE"""),"Penyediaan makanan dan minuman dengan pengolahan")</f>
        <v>Penyediaan makanan dan minuman dengan pengolahan</v>
      </c>
      <c r="H19" s="6" t="str">
        <f>IFERROR(__xludf.DUMMYFUNCTION("""COMPUTED_VALUE"""),"Kamis, 26 Februari 2026")</f>
        <v>Kamis, 26 Februari 2026</v>
      </c>
      <c r="I19" s="6" t="str">
        <f>IFERROR(__xludf.DUMMYFUNCTION("""COMPUTED_VALUE"""),"057")</f>
        <v>057</v>
      </c>
      <c r="J19" s="6" t="str">
        <f>IFERROR(__xludf.DUMMYFUNCTION("""COMPUTED_VALUE"""),"056")</f>
        <v>056</v>
      </c>
      <c r="K19" s="7" t="str">
        <f>IFERROR(__xludf.DUMMYFUNCTION("""COMPUTED_VALUE"""),"https://drive.google.com/file/d/1rtdKBUNsQUKibA16zk5O_Ut7DlohGl7B/view?usp=drivesdk")</f>
        <v>https://drive.google.com/file/d/1rtdKBUNsQUKibA16zk5O_Ut7DlohGl7B/view?usp=drivesdk</v>
      </c>
      <c r="L19" s="7" t="str">
        <f>IFERROR(__xludf.DUMMYFUNCTION("""COMPUTED_VALUE"""),"https://drive.google.com/file/d/1r5oydXGBbCvokYHZAOvFHqJjMZ4DhL5Z/view?usp=drivesdk")</f>
        <v>https://drive.google.com/file/d/1r5oydXGBbCvokYHZAOvFHqJjMZ4DhL5Z/view?usp=drivesdk</v>
      </c>
      <c r="M19" s="7" t="str">
        <f>IFERROR(__xludf.DUMMYFUNCTION("""COMPUTED_VALUE"""),"https://drive.google.com/file/d/1MFKUcLnJ6Y0TZCzfOBcXfyj5LcwZYQXm/view?usp=drivesdk")</f>
        <v>https://drive.google.com/file/d/1MFKUcLnJ6Y0TZCzfOBcXfyj5LcwZYQXm/view?usp=drivesdk</v>
      </c>
    </row>
    <row r="20">
      <c r="A20" s="6" t="str">
        <f>IFERROR(__xludf.DUMMYFUNCTION("""COMPUTED_VALUE"""),"006/SPK-UINJKT-PU/I/2026")</f>
        <v>006/SPK-UINJKT-PU/I/2026</v>
      </c>
      <c r="B20" s="6" t="str">
        <f>IFERROR(__xludf.DUMMYFUNCTION("""COMPUTED_VALUE"""),"SURAT PERJANJIAN KERJASAMA PEMERIKSAAN LPH DENGAN PU")</f>
        <v>SURAT PERJANJIAN KERJASAMA PEMERIKSAAN LPH DENGAN PU</v>
      </c>
      <c r="C20" s="4"/>
      <c r="D20" s="6">
        <f>IFERROR(__xludf.DUMMYFUNCTION("""COMPUTED_VALUE"""),18.0)</f>
        <v>18</v>
      </c>
      <c r="E20" s="6" t="str">
        <f>IFERROR(__xludf.DUMMYFUNCTION("""COMPUTED_VALUE"""),"SH2026-1-1411350")</f>
        <v>SH2026-1-1411350</v>
      </c>
      <c r="F20" s="6" t="str">
        <f>IFERROR(__xludf.DUMMYFUNCTION("""COMPUTED_VALUE"""),"HJ MARDIAH DAN HJ CHALIMAH")</f>
        <v>HJ MARDIAH DAN HJ CHALIMAH</v>
      </c>
      <c r="G20" s="6"/>
      <c r="H20" s="6" t="str">
        <f>IFERROR(__xludf.DUMMYFUNCTION("""COMPUTED_VALUE"""),"Kamis, 26 Februari 2026")</f>
        <v>Kamis, 26 Februari 2026</v>
      </c>
      <c r="I20" s="6" t="str">
        <f>IFERROR(__xludf.DUMMYFUNCTION("""COMPUTED_VALUE"""),"059")</f>
        <v>059</v>
      </c>
      <c r="J20" s="6" t="str">
        <f>IFERROR(__xludf.DUMMYFUNCTION("""COMPUTED_VALUE"""),"008")</f>
        <v>008</v>
      </c>
      <c r="K20" s="7" t="str">
        <f>IFERROR(__xludf.DUMMYFUNCTION("""COMPUTED_VALUE"""),"https://drive.google.com/file/d/1brv1g9w9bC7R3g97LRUH3I64-4Td2XNQ/view?usp=drivesdk")</f>
        <v>https://drive.google.com/file/d/1brv1g9w9bC7R3g97LRUH3I64-4Td2XNQ/view?usp=drivesdk</v>
      </c>
      <c r="L20" s="7" t="str">
        <f>IFERROR(__xludf.DUMMYFUNCTION("""COMPUTED_VALUE"""),"https://drive.google.com/file/d/19ZnHJ9lerPnyc5mB7DTyuLt-FLN_QWVF/view?usp=drivesdk")</f>
        <v>https://drive.google.com/file/d/19ZnHJ9lerPnyc5mB7DTyuLt-FLN_QWVF/view?usp=drivesdk</v>
      </c>
      <c r="M20" s="7" t="str">
        <f>IFERROR(__xludf.DUMMYFUNCTION("""COMPUTED_VALUE"""),"https://drive.google.com/file/d/1oOnyGXeXoXKrNIuqHafEmSSaZKkRzgUS/view?usp=drivesdk")</f>
        <v>https://drive.google.com/file/d/1oOnyGXeXoXKrNIuqHafEmSSaZKkRzgUS/view?usp=drivesdk</v>
      </c>
    </row>
    <row r="21">
      <c r="A21" s="6" t="str">
        <f>IFERROR(__xludf.DUMMYFUNCTION("""COMPUTED_VALUE"""),"007/SE/LPH/I/2026")</f>
        <v>007/SE/LPH/I/2026</v>
      </c>
      <c r="B21" s="6" t="str">
        <f>IFERROR(__xludf.DUMMYFUNCTION("""COMPUTED_VALUE"""),"SURAT TUGAS AUDIT ")</f>
        <v>SURAT TUGAS AUDIT </v>
      </c>
      <c r="C21" s="4"/>
      <c r="D21" s="6">
        <f>IFERROR(__xludf.DUMMYFUNCTION("""COMPUTED_VALUE"""),19.0)</f>
        <v>19</v>
      </c>
      <c r="E21" s="6" t="str">
        <f>IFERROR(__xludf.DUMMYFUNCTION("""COMPUTED_VALUE"""),"SH2026-1-1733835")</f>
        <v>SH2026-1-1733835</v>
      </c>
      <c r="F21" s="6" t="str">
        <f>IFERROR(__xludf.DUMMYFUNCTION("""COMPUTED_VALUE"""),"TOYA BUMI BERSIH")</f>
        <v>TOYA BUMI BERSIH</v>
      </c>
      <c r="G21" s="6" t="str">
        <f>IFERROR(__xludf.DUMMYFUNCTION("""COMPUTED_VALUE"""),"Bahan penyusun barang gunaan")</f>
        <v>Bahan penyusun barang gunaan</v>
      </c>
      <c r="H21" s="6" t="str">
        <f>IFERROR(__xludf.DUMMYFUNCTION("""COMPUTED_VALUE"""),"Jumat, 27 Februari 2026")</f>
        <v>Jumat, 27 Februari 2026</v>
      </c>
      <c r="I21" s="6" t="str">
        <f>IFERROR(__xludf.DUMMYFUNCTION("""COMPUTED_VALUE"""),"060")</f>
        <v>060</v>
      </c>
      <c r="J21" s="6" t="str">
        <f>IFERROR(__xludf.DUMMYFUNCTION("""COMPUTED_VALUE"""),"061")</f>
        <v>061</v>
      </c>
      <c r="K21" s="7" t="str">
        <f>IFERROR(__xludf.DUMMYFUNCTION("""COMPUTED_VALUE"""),"https://drive.google.com/file/d/1jSsKlR0Xl2invbrA-F_r-mkOTOnvZXOo/view?usp=drivesdk")</f>
        <v>https://drive.google.com/file/d/1jSsKlR0Xl2invbrA-F_r-mkOTOnvZXOo/view?usp=drivesdk</v>
      </c>
      <c r="L21" s="7" t="str">
        <f>IFERROR(__xludf.DUMMYFUNCTION("""COMPUTED_VALUE"""),"https://drive.google.com/file/d/1bfq7t28fXm90WVcLYLcGT8D3I686Gj5f/view?usp=drivesdk")</f>
        <v>https://drive.google.com/file/d/1bfq7t28fXm90WVcLYLcGT8D3I686Gj5f/view?usp=drivesdk</v>
      </c>
      <c r="M21" s="7" t="str">
        <f>IFERROR(__xludf.DUMMYFUNCTION("""COMPUTED_VALUE"""),"https://drive.google.com/file/d/1qCEcxHEGYRBa6IvBXWDkPXsAr3EMQvjr/view?usp=drivesdk")</f>
        <v>https://drive.google.com/file/d/1qCEcxHEGYRBa6IvBXWDkPXsAr3EMQvjr/view?usp=drivesdk</v>
      </c>
    </row>
    <row r="22">
      <c r="A22" s="6" t="str">
        <f>IFERROR(__xludf.DUMMYFUNCTION("""COMPUTED_VALUE"""),"008/SPK-UINJKT-PU/I/2026")</f>
        <v>008/SPK-UINJKT-PU/I/2026</v>
      </c>
      <c r="B22" s="6" t="str">
        <f>IFERROR(__xludf.DUMMYFUNCTION("""COMPUTED_VALUE"""),"SURAT PERJANJIAN KERJASAMA PEMERIKSAAN LPH DENGAN PU")</f>
        <v>SURAT PERJANJIAN KERJASAMA PEMERIKSAAN LPH DENGAN PU</v>
      </c>
      <c r="C22" s="4"/>
      <c r="D22" s="6">
        <f>IFERROR(__xludf.DUMMYFUNCTION("""COMPUTED_VALUE"""),20.0)</f>
        <v>20</v>
      </c>
      <c r="E22" s="6" t="str">
        <f>IFERROR(__xludf.DUMMYFUNCTION("""COMPUTED_VALUE"""),"SH2026-1-1755759")</f>
        <v>SH2026-1-1755759</v>
      </c>
      <c r="F22" s="6" t="str">
        <f>IFERROR(__xludf.DUMMYFUNCTION("""COMPUTED_VALUE"""),"TB YANUAR ARYANDI")</f>
        <v>TB YANUAR ARYANDI</v>
      </c>
      <c r="G22" s="6" t="str">
        <f>IFERROR(__xludf.DUMMYFUNCTION("""COMPUTED_VALUE"""),"Penyediaan makanan dan minuman dengan pengolahan")</f>
        <v>Penyediaan makanan dan minuman dengan pengolahan</v>
      </c>
      <c r="H22" s="6" t="str">
        <f>IFERROR(__xludf.DUMMYFUNCTION("""COMPUTED_VALUE"""),"Selasa, 4 Maret 2026")</f>
        <v>Selasa, 4 Maret 2026</v>
      </c>
      <c r="I22" s="6" t="str">
        <f>IFERROR(__xludf.DUMMYFUNCTION("""COMPUTED_VALUE"""),"062")</f>
        <v>062</v>
      </c>
      <c r="J22" s="6" t="str">
        <f>IFERROR(__xludf.DUMMYFUNCTION("""COMPUTED_VALUE"""),"063")</f>
        <v>063</v>
      </c>
      <c r="K22" s="7" t="str">
        <f>IFERROR(__xludf.DUMMYFUNCTION("""COMPUTED_VALUE"""),"https://drive.google.com/file/d/1dvcw7ENpZSluWvl6hWYb6nXymVQrk9k_/view?usp=drivesdk")</f>
        <v>https://drive.google.com/file/d/1dvcw7ENpZSluWvl6hWYb6nXymVQrk9k_/view?usp=drivesdk</v>
      </c>
      <c r="L22" s="7" t="str">
        <f>IFERROR(__xludf.DUMMYFUNCTION("""COMPUTED_VALUE"""),"https://drive.google.com/file/d/1RgNyIEu9jXFjZs2Uf00as476WbnL0MkX/view?usp=drivesdk")</f>
        <v>https://drive.google.com/file/d/1RgNyIEu9jXFjZs2Uf00as476WbnL0MkX/view?usp=drivesdk</v>
      </c>
      <c r="M22" s="7" t="str">
        <f>IFERROR(__xludf.DUMMYFUNCTION("""COMPUTED_VALUE"""),"https://drive.google.com/file/d/15drJ3dkCokENTm4fY0MXFGNtoWorE7zj/view?usp=drivesdk")</f>
        <v>https://drive.google.com/file/d/15drJ3dkCokENTm4fY0MXFGNtoWorE7zj/view?usp=drivesdk</v>
      </c>
    </row>
    <row r="23">
      <c r="A23" s="6" t="str">
        <f>IFERROR(__xludf.DUMMYFUNCTION("""COMPUTED_VALUE"""),"SPH-009/LPH-UINJKT/I/2026")</f>
        <v>SPH-009/LPH-UINJKT/I/2026</v>
      </c>
      <c r="B23" s="6" t="str">
        <f>IFERROR(__xludf.DUMMYFUNCTION("""COMPUTED_VALUE"""),"SURAT PENAWARAN HARGA (QUOTATION)")</f>
        <v>SURAT PENAWARAN HARGA (QUOTATION)</v>
      </c>
      <c r="C23" s="4"/>
      <c r="D23" s="6">
        <f>IFERROR(__xludf.DUMMYFUNCTION("""COMPUTED_VALUE"""),21.0)</f>
        <v>21</v>
      </c>
      <c r="E23" s="6" t="str">
        <f>IFERROR(__xludf.DUMMYFUNCTION("""COMPUTED_VALUE"""),"SH2026-1-1657788")</f>
        <v>SH2026-1-1657788</v>
      </c>
      <c r="F23" s="6" t="str">
        <f>IFERROR(__xludf.DUMMYFUNCTION("""COMPUTED_VALUE"""),"HERRY CHANDRA")</f>
        <v>HERRY CHANDRA</v>
      </c>
      <c r="G23" s="6" t="str">
        <f>IFERROR(__xludf.DUMMYFUNCTION("""COMPUTED_VALUE"""),"Olahan Daging ")</f>
        <v>Olahan Daging </v>
      </c>
      <c r="H23" s="6" t="str">
        <f>IFERROR(__xludf.DUMMYFUNCTION("""COMPUTED_VALUE"""),"Rabu, 11 Maret 2026")</f>
        <v>Rabu, 11 Maret 2026</v>
      </c>
      <c r="I23" s="6" t="str">
        <f>IFERROR(__xludf.DUMMYFUNCTION("""COMPUTED_VALUE"""),"069")</f>
        <v>069</v>
      </c>
      <c r="J23" s="6" t="str">
        <f>IFERROR(__xludf.DUMMYFUNCTION("""COMPUTED_VALUE"""),"047")</f>
        <v>047</v>
      </c>
      <c r="K23" s="7" t="str">
        <f>IFERROR(__xludf.DUMMYFUNCTION("""COMPUTED_VALUE"""),"https://drive.google.com/file/d/1xgrkTgC24OAUygRRYwrzXwdPNolmXJvP/view?usp=drivesdk")</f>
        <v>https://drive.google.com/file/d/1xgrkTgC24OAUygRRYwrzXwdPNolmXJvP/view?usp=drivesdk</v>
      </c>
      <c r="L23" s="7" t="str">
        <f>IFERROR(__xludf.DUMMYFUNCTION("""COMPUTED_VALUE"""),"https://drive.google.com/file/d/14s0nVWbh4jO3iwSRCOG5WGlRVZeRv1dk/view?usp=drivesdk")</f>
        <v>https://drive.google.com/file/d/14s0nVWbh4jO3iwSRCOG5WGlRVZeRv1dk/view?usp=drivesdk</v>
      </c>
      <c r="M23" s="7" t="str">
        <f>IFERROR(__xludf.DUMMYFUNCTION("""COMPUTED_VALUE"""),"https://drive.google.com/file/d/1Ndmr1jG1KR-hNUvR4kTOT3hwjPvwTpNB/view?usp=drivesdk")</f>
        <v>https://drive.google.com/file/d/1Ndmr1jG1KR-hNUvR4kTOT3hwjPvwTpNB/view?usp=drivesdk</v>
      </c>
    </row>
    <row r="24">
      <c r="A24" s="6" t="str">
        <f>IFERROR(__xludf.DUMMYFUNCTION("""COMPUTED_VALUE"""),"009/SE/LPH/I/2026")</f>
        <v>009/SE/LPH/I/2026</v>
      </c>
      <c r="B24" s="6" t="str">
        <f>IFERROR(__xludf.DUMMYFUNCTION("""COMPUTED_VALUE"""),"SURAT TUGAS AUDIT ")</f>
        <v>SURAT TUGAS AUDIT </v>
      </c>
      <c r="C24" s="4"/>
      <c r="D24" s="6">
        <f>IFERROR(__xludf.DUMMYFUNCTION("""COMPUTED_VALUE"""),22.0)</f>
        <v>22</v>
      </c>
      <c r="E24" s="6" t="str">
        <f>IFERROR(__xludf.DUMMYFUNCTION("""COMPUTED_VALUE"""),"SH2026-1-1719857")</f>
        <v>SH2026-1-1719857</v>
      </c>
      <c r="F24" s="6" t="str">
        <f>IFERROR(__xludf.DUMMYFUNCTION("""COMPUTED_VALUE"""),"CV. INDO AROMA UTAMA")</f>
        <v>CV. INDO AROMA UTAMA</v>
      </c>
      <c r="G24" s="6" t="str">
        <f>IFERROR(__xludf.DUMMYFUNCTION("""COMPUTED_VALUE"""),"Bahan tambahan Pangan")</f>
        <v>Bahan tambahan Pangan</v>
      </c>
      <c r="H24" s="6" t="str">
        <f>IFERROR(__xludf.DUMMYFUNCTION("""COMPUTED_VALUE"""),"Kamis, 12 Maret 2026")</f>
        <v>Kamis, 12 Maret 2026</v>
      </c>
      <c r="I24" s="6" t="str">
        <f>IFERROR(__xludf.DUMMYFUNCTION("""COMPUTED_VALUE"""),"071")</f>
        <v>071</v>
      </c>
      <c r="J24" s="6" t="str">
        <f>IFERROR(__xludf.DUMMYFUNCTION("""COMPUTED_VALUE"""),"072")</f>
        <v>072</v>
      </c>
      <c r="K24" s="7" t="str">
        <f>IFERROR(__xludf.DUMMYFUNCTION("""COMPUTED_VALUE"""),"https://drive.google.com/file/d/1izJ1BU1Dkr4UeuWXPxWKmC3UtbYUxbp0/view?usp=drivesdk")</f>
        <v>https://drive.google.com/file/d/1izJ1BU1Dkr4UeuWXPxWKmC3UtbYUxbp0/view?usp=drivesdk</v>
      </c>
      <c r="L24" s="7" t="str">
        <f>IFERROR(__xludf.DUMMYFUNCTION("""COMPUTED_VALUE"""),"https://drive.google.com/file/d/10y9VkZLKJuldJRDVZK55jmTrP4Z5Il5C/view?usp=drivesdk")</f>
        <v>https://drive.google.com/file/d/10y9VkZLKJuldJRDVZK55jmTrP4Z5Il5C/view?usp=drivesdk</v>
      </c>
      <c r="M24" s="6" t="str">
        <f>IFERROR(__xludf.DUMMYFUNCTION("""COMPUTED_VALUE"""),"-")</f>
        <v>-</v>
      </c>
    </row>
    <row r="25">
      <c r="A25" s="6" t="str">
        <f>IFERROR(__xludf.DUMMYFUNCTION("""COMPUTED_VALUE"""),"010/SPK-UINJKT-PU/I/2026")</f>
        <v>010/SPK-UINJKT-PU/I/2026</v>
      </c>
      <c r="B25" s="6" t="str">
        <f>IFERROR(__xludf.DUMMYFUNCTION("""COMPUTED_VALUE"""),"SURAT PERJANJIAN KERJASAMA PEMERIKSAAN LPH DENGAN PU")</f>
        <v>SURAT PERJANJIAN KERJASAMA PEMERIKSAAN LPH DENGAN PU</v>
      </c>
      <c r="C25" s="4"/>
      <c r="D25" s="6">
        <f>IFERROR(__xludf.DUMMYFUNCTION("""COMPUTED_VALUE"""),23.0)</f>
        <v>23</v>
      </c>
      <c r="E25" s="6" t="str">
        <f>IFERROR(__xludf.DUMMYFUNCTION("""COMPUTED_VALUE"""),"SH2026-1-1815979")</f>
        <v>SH2026-1-1815979</v>
      </c>
      <c r="F25" s="6" t="str">
        <f>IFERROR(__xludf.DUMMYFUNCTION("""COMPUTED_VALUE"""),"Malik Jabbar Herbalindo")</f>
        <v>Malik Jabbar Herbalindo</v>
      </c>
      <c r="G25" s="6" t="str">
        <f>IFERROR(__xludf.DUMMYFUNCTION("""COMPUTED_VALUE"""),"Minuman dengan Pengolahan")</f>
        <v>Minuman dengan Pengolahan</v>
      </c>
      <c r="H25" s="6" t="str">
        <f>IFERROR(__xludf.DUMMYFUNCTION("""COMPUTED_VALUE"""),"Senin, 09 Maret 2026")</f>
        <v>Senin, 09 Maret 2026</v>
      </c>
      <c r="I25" s="6" t="str">
        <f>IFERROR(__xludf.DUMMYFUNCTION("""COMPUTED_VALUE"""),"073")</f>
        <v>073</v>
      </c>
      <c r="J25" s="6" t="str">
        <f>IFERROR(__xludf.DUMMYFUNCTION("""COMPUTED_VALUE"""),"074")</f>
        <v>074</v>
      </c>
      <c r="K25" s="7" t="str">
        <f>IFERROR(__xludf.DUMMYFUNCTION("""COMPUTED_VALUE"""),"https://drive.google.com/file/d/1ggGLHcaS2A7u16t6yF92mEIp8ek0kbF8/view?usp=drivesdk")</f>
        <v>https://drive.google.com/file/d/1ggGLHcaS2A7u16t6yF92mEIp8ek0kbF8/view?usp=drivesdk</v>
      </c>
      <c r="L25" s="7" t="str">
        <f>IFERROR(__xludf.DUMMYFUNCTION("""COMPUTED_VALUE"""),"https://drive.google.com/file/d/1_Eb7Nsr265CSQu505YOrBb33D3lHOfon/view?usp=drivesdk")</f>
        <v>https://drive.google.com/file/d/1_Eb7Nsr265CSQu505YOrBb33D3lHOfon/view?usp=drivesdk</v>
      </c>
      <c r="M25" s="6" t="str">
        <f>IFERROR(__xludf.DUMMYFUNCTION("""COMPUTED_VALUE"""),"-")</f>
        <v>-</v>
      </c>
    </row>
    <row r="26">
      <c r="A26" s="6" t="str">
        <f>IFERROR(__xludf.DUMMYFUNCTION("""COMPUTED_VALUE"""),"011/SE/LPH/I/2026")</f>
        <v>011/SE/LPH/I/2026</v>
      </c>
      <c r="B26" s="6" t="str">
        <f>IFERROR(__xludf.DUMMYFUNCTION("""COMPUTED_VALUE"""),"SURAT TUGAS AUDIT ")</f>
        <v>SURAT TUGAS AUDIT </v>
      </c>
      <c r="C26" s="4"/>
      <c r="D26" s="6">
        <f>IFERROR(__xludf.DUMMYFUNCTION("""COMPUTED_VALUE"""),24.0)</f>
        <v>24</v>
      </c>
      <c r="E26" s="6" t="str">
        <f>IFERROR(__xludf.DUMMYFUNCTION("""COMPUTED_VALUE"""),"SH2026-1-1897446")</f>
        <v>SH2026-1-1897446</v>
      </c>
      <c r="F26" s="6" t="str">
        <f>IFERROR(__xludf.DUMMYFUNCTION("""COMPUTED_VALUE"""),"MAJU BAHAGIA CAKUE")</f>
        <v>MAJU BAHAGIA CAKUE</v>
      </c>
      <c r="G26" s="6" t="str">
        <f>IFERROR(__xludf.DUMMYFUNCTION("""COMPUTED_VALUE"""),"Serealia dan produk serealia yang merupakan produk turunan dari biji serealia, akar dan umbi, kacang-kacangan dan empulur dengan pengolahan dan penambahan bahan tambahan pangan")</f>
        <v>Serealia dan produk serealia yang merupakan produk turunan dari biji serealia, akar dan umbi, kacang-kacangan dan empulur dengan pengolahan dan penambahan bahan tambahan pangan</v>
      </c>
      <c r="H26" s="6" t="str">
        <f>IFERROR(__xludf.DUMMYFUNCTION("""COMPUTED_VALUE"""),"Jumat, 03 April 2025")</f>
        <v>Jumat, 03 April 2025</v>
      </c>
      <c r="I26" s="6" t="str">
        <f>IFERROR(__xludf.DUMMYFUNCTION("""COMPUTED_VALUE"""),"082")</f>
        <v>082</v>
      </c>
      <c r="J26" s="6" t="str">
        <f>IFERROR(__xludf.DUMMYFUNCTION("""COMPUTED_VALUE"""),"081")</f>
        <v>081</v>
      </c>
      <c r="K26" s="7" t="str">
        <f>IFERROR(__xludf.DUMMYFUNCTION("""COMPUTED_VALUE"""),"https://drive.google.com/file/d/1V-MxWOHVr-dNz7D7T12TNEtJzdiLZ-Aq/view?usp=drivesdk")</f>
        <v>https://drive.google.com/file/d/1V-MxWOHVr-dNz7D7T12TNEtJzdiLZ-Aq/view?usp=drivesdk</v>
      </c>
      <c r="L26" s="7" t="str">
        <f>IFERROR(__xludf.DUMMYFUNCTION("""COMPUTED_VALUE"""),"https://drive.google.com/file/d/11MBaPy7H1ZU4XdMu__evscBc8rdlY3yx/view?usp=drivesdk")</f>
        <v>https://drive.google.com/file/d/11MBaPy7H1ZU4XdMu__evscBc8rdlY3yx/view?usp=drivesdk</v>
      </c>
      <c r="M26" s="7" t="str">
        <f>IFERROR(__xludf.DUMMYFUNCTION("""COMPUTED_VALUE"""),"https://drive.google.com/file/d/1IJBD_FYzRlZr81TocaFiWwTsJihchpVM/view?usp=drivesdk")</f>
        <v>https://drive.google.com/file/d/1IJBD_FYzRlZr81TocaFiWwTsJihchpVM/view?usp=drivesdk</v>
      </c>
    </row>
    <row r="27">
      <c r="A27" s="6" t="str">
        <f>IFERROR(__xludf.DUMMYFUNCTION("""COMPUTED_VALUE"""),"012/SPK-UINJKT-PU/I/2026")</f>
        <v>012/SPK-UINJKT-PU/I/2026</v>
      </c>
      <c r="B27" s="6" t="str">
        <f>IFERROR(__xludf.DUMMYFUNCTION("""COMPUTED_VALUE"""),"SURAT PERJANJIAN KERJASAMA PEMERIKSAAN LPH DENGAN PU")</f>
        <v>SURAT PERJANJIAN KERJASAMA PEMERIKSAAN LPH DENGAN PU</v>
      </c>
      <c r="C27" s="4"/>
      <c r="D27" s="6">
        <f>IFERROR(__xludf.DUMMYFUNCTION("""COMPUTED_VALUE"""),25.0)</f>
        <v>25</v>
      </c>
      <c r="E27" s="6" t="str">
        <f>IFERROR(__xludf.DUMMYFUNCTION("""COMPUTED_VALUE"""),"SH2026-1-2003608")</f>
        <v>SH2026-1-2003608</v>
      </c>
      <c r="F27" s="6" t="str">
        <f>IFERROR(__xludf.DUMMYFUNCTION("""COMPUTED_VALUE"""),"MINYAK URAPAN ANGGUR")</f>
        <v>MINYAK URAPAN ANGGUR</v>
      </c>
      <c r="G27" s="6" t="str">
        <f>IFERROR(__xludf.DUMMYFUNCTION("""COMPUTED_VALUE"""),"Penyediaan makanan dan minuman dengan pengolahan")</f>
        <v>Penyediaan makanan dan minuman dengan pengolahan</v>
      </c>
      <c r="H27" s="6" t="str">
        <f>IFERROR(__xludf.DUMMYFUNCTION("""COMPUTED_VALUE"""),"Senin, 06 April 2026")</f>
        <v>Senin, 06 April 2026</v>
      </c>
      <c r="I27" s="6" t="str">
        <f>IFERROR(__xludf.DUMMYFUNCTION("""COMPUTED_VALUE"""),"084")</f>
        <v>084</v>
      </c>
      <c r="J27" s="6" t="str">
        <f>IFERROR(__xludf.DUMMYFUNCTION("""COMPUTED_VALUE"""),"083")</f>
        <v>083</v>
      </c>
      <c r="K27" s="7" t="str">
        <f>IFERROR(__xludf.DUMMYFUNCTION("""COMPUTED_VALUE"""),"https://drive.google.com/file/d/1gMrYPoaSTewYybryTOoa0emrV7bO5k8S/view?usp=drivesdk")</f>
        <v>https://drive.google.com/file/d/1gMrYPoaSTewYybryTOoa0emrV7bO5k8S/view?usp=drivesdk</v>
      </c>
      <c r="L27" s="7" t="str">
        <f>IFERROR(__xludf.DUMMYFUNCTION("""COMPUTED_VALUE"""),"https://drive.google.com/file/d/1EjrGCnrWJhgn8ANe0mgW9q2MNPQIboG6/view?usp=drivesdk")</f>
        <v>https://drive.google.com/file/d/1EjrGCnrWJhgn8ANe0mgW9q2MNPQIboG6/view?usp=drivesdk</v>
      </c>
      <c r="M27" s="6" t="str">
        <f>IFERROR(__xludf.DUMMYFUNCTION("""COMPUTED_VALUE"""),"-")</f>
        <v>-</v>
      </c>
    </row>
    <row r="28">
      <c r="A28" s="6" t="str">
        <f>IFERROR(__xludf.DUMMYFUNCTION("""COMPUTED_VALUE"""),"013/SE/LPH/I/2026")</f>
        <v>013/SE/LPH/I/2026</v>
      </c>
      <c r="B28" s="6" t="str">
        <f>IFERROR(__xludf.DUMMYFUNCTION("""COMPUTED_VALUE"""),"SURAT TUGAS AUDIT ")</f>
        <v>SURAT TUGAS AUDIT </v>
      </c>
      <c r="C28" s="4"/>
      <c r="D28" s="6">
        <f>IFERROR(__xludf.DUMMYFUNCTION("""COMPUTED_VALUE"""),26.0)</f>
        <v>26</v>
      </c>
      <c r="E28" s="6" t="str">
        <f>IFERROR(__xludf.DUMMYFUNCTION("""COMPUTED_VALUE"""),"SH2026-1-1921288")</f>
        <v>SH2026-1-1921288</v>
      </c>
      <c r="F28" s="6" t="str">
        <f>IFERROR(__xludf.DUMMYFUNCTION("""COMPUTED_VALUE"""),"WINDY RALLY GIANA LESMANA")</f>
        <v>WINDY RALLY GIANA LESMANA</v>
      </c>
      <c r="G28" s="6" t="str">
        <f>IFERROR(__xludf.DUMMYFUNCTION("""COMPUTED_VALUE"""),"Daging dan produk olahan daging")</f>
        <v>Daging dan produk olahan daging</v>
      </c>
      <c r="H28" s="6" t="str">
        <f>IFERROR(__xludf.DUMMYFUNCTION("""COMPUTED_VALUE"""),"Selasa, 07 April 2026")</f>
        <v>Selasa, 07 April 2026</v>
      </c>
      <c r="I28" s="6" t="str">
        <f>IFERROR(__xludf.DUMMYFUNCTION("""COMPUTED_VALUE"""),"087")</f>
        <v>087</v>
      </c>
      <c r="J28" s="6" t="str">
        <f>IFERROR(__xludf.DUMMYFUNCTION("""COMPUTED_VALUE"""),"086")</f>
        <v>086</v>
      </c>
      <c r="K28" s="7" t="str">
        <f>IFERROR(__xludf.DUMMYFUNCTION("""COMPUTED_VALUE"""),"https://drive.google.com/file/d/1lcDn10j7oxAF0sqrLtMRV2AcRtWDu016/view?usp=drivesdk")</f>
        <v>https://drive.google.com/file/d/1lcDn10j7oxAF0sqrLtMRV2AcRtWDu016/view?usp=drivesdk</v>
      </c>
      <c r="L28" s="7" t="str">
        <f>IFERROR(__xludf.DUMMYFUNCTION("""COMPUTED_VALUE"""),"https://drive.google.com/file/d/1YgRgGiBO25xUGNwjUq5Z9bi22zTb1WTG/view?usp=drivesdk")</f>
        <v>https://drive.google.com/file/d/1YgRgGiBO25xUGNwjUq5Z9bi22zTb1WTG/view?usp=drivesdk</v>
      </c>
      <c r="M28" s="7" t="str">
        <f>IFERROR(__xludf.DUMMYFUNCTION("""COMPUTED_VALUE"""),"https://drive.google.com/file/d/1VX7qYoM7G-SmR4HkT95_x6k-X7VDu4Zn/view?usp=drivesdk")</f>
        <v>https://drive.google.com/file/d/1VX7qYoM7G-SmR4HkT95_x6k-X7VDu4Zn/view?usp=drivesdk</v>
      </c>
    </row>
    <row r="29">
      <c r="A29" s="6" t="str">
        <f>IFERROR(__xludf.DUMMYFUNCTION("""COMPUTED_VALUE"""),"014/SPK-UINJKT-PU/I/2026")</f>
        <v>014/SPK-UINJKT-PU/I/2026</v>
      </c>
      <c r="B29" s="6" t="str">
        <f>IFERROR(__xludf.DUMMYFUNCTION("""COMPUTED_VALUE"""),"SURAT PERJANJIAN KERJASAMA PEMERIKSAAN LPH DENGAN PU")</f>
        <v>SURAT PERJANJIAN KERJASAMA PEMERIKSAAN LPH DENGAN PU</v>
      </c>
      <c r="C29" s="4"/>
      <c r="D29" s="6">
        <f>IFERROR(__xludf.DUMMYFUNCTION("""COMPUTED_VALUE"""),27.0)</f>
        <v>27</v>
      </c>
      <c r="E29" s="6"/>
      <c r="F29" s="6" t="str">
        <f>IFERROR(__xludf.DUMMYFUNCTION("""COMPUTED_VALUE"""),"MINANG MURT")</f>
        <v>MINANG MURT</v>
      </c>
      <c r="G29" s="6" t="str">
        <f>IFERROR(__xludf.DUMMYFUNCTION("""COMPUTED_VALUE"""),"Makanan ringan siap santap")</f>
        <v>Makanan ringan siap santap</v>
      </c>
      <c r="H29" s="6" t="str">
        <f>IFERROR(__xludf.DUMMYFUNCTION("""COMPUTED_VALUE"""),"Kamis, 16 April 2026")</f>
        <v>Kamis, 16 April 2026</v>
      </c>
      <c r="I29" s="6" t="str">
        <f>IFERROR(__xludf.DUMMYFUNCTION("""COMPUTED_VALUE"""),"089")</f>
        <v>089</v>
      </c>
      <c r="J29" s="6" t="str">
        <f>IFERROR(__xludf.DUMMYFUNCTION("""COMPUTED_VALUE"""),"088")</f>
        <v>088</v>
      </c>
      <c r="K29" s="7" t="str">
        <f>IFERROR(__xludf.DUMMYFUNCTION("""COMPUTED_VALUE"""),"https://drive.google.com/file/d/1rBn_GBMUSq8wUaTDEKPOKarTrCb5KqAr/view?usp=drivesdk")</f>
        <v>https://drive.google.com/file/d/1rBn_GBMUSq8wUaTDEKPOKarTrCb5KqAr/view?usp=drivesdk</v>
      </c>
      <c r="L29" s="7" t="str">
        <f>IFERROR(__xludf.DUMMYFUNCTION("""COMPUTED_VALUE"""),"https://drive.google.com/file/d/10udrWeeI02aBiLcC7Q-E43-qAfMdYJdU/view?usp=drivesdk")</f>
        <v>https://drive.google.com/file/d/10udrWeeI02aBiLcC7Q-E43-qAfMdYJdU/view?usp=drivesdk</v>
      </c>
      <c r="M29" s="6" t="str">
        <f>IFERROR(__xludf.DUMMYFUNCTION("""COMPUTED_VALUE"""),"-")</f>
        <v>-</v>
      </c>
    </row>
    <row r="30">
      <c r="A30" s="6" t="str">
        <f>IFERROR(__xludf.DUMMYFUNCTION("""COMPUTED_VALUE"""),"015/SE/LPH/I/2026")</f>
        <v>015/SE/LPH/I/2026</v>
      </c>
      <c r="B30" s="6" t="str">
        <f>IFERROR(__xludf.DUMMYFUNCTION("""COMPUTED_VALUE"""),"SURAT TUGAS AUDIT ")</f>
        <v>SURAT TUGAS AUDIT </v>
      </c>
      <c r="C30" s="4"/>
      <c r="D30" s="6">
        <f>IFERROR(__xludf.DUMMYFUNCTION("""COMPUTED_VALUE"""),28.0)</f>
        <v>28</v>
      </c>
      <c r="E30" s="6"/>
      <c r="F30" s="6" t="str">
        <f>IFERROR(__xludf.DUMMYFUNCTION("""COMPUTED_VALUE"""),"FAUZIAH S.")</f>
        <v>FAUZIAH S.</v>
      </c>
      <c r="G30" s="6" t="str">
        <f>IFERROR(__xludf.DUMMYFUNCTION("""COMPUTED_VALUE"""),"Makanan dan minuman dengan pengolahan")</f>
        <v>Makanan dan minuman dengan pengolahan</v>
      </c>
      <c r="H30" s="6" t="str">
        <f>IFERROR(__xludf.DUMMYFUNCTION("""COMPUTED_VALUE"""),"Kamis, 16 April 2026")</f>
        <v>Kamis, 16 April 2026</v>
      </c>
      <c r="I30" s="6" t="str">
        <f>IFERROR(__xludf.DUMMYFUNCTION("""COMPUTED_VALUE"""),"097")</f>
        <v>097</v>
      </c>
      <c r="J30" s="6" t="str">
        <f>IFERROR(__xludf.DUMMYFUNCTION("""COMPUTED_VALUE"""),"096")</f>
        <v>096</v>
      </c>
      <c r="K30" s="7" t="str">
        <f>IFERROR(__xludf.DUMMYFUNCTION("""COMPUTED_VALUE"""),"https://drive.google.com/file/d/1PD0RsprAbCyFNvlAvT9ZTMqx9YXGHHLG/view?usp=drivesdk")</f>
        <v>https://drive.google.com/file/d/1PD0RsprAbCyFNvlAvT9ZTMqx9YXGHHLG/view?usp=drivesdk</v>
      </c>
      <c r="L30" s="7" t="str">
        <f>IFERROR(__xludf.DUMMYFUNCTION("""COMPUTED_VALUE"""),"https://drive.google.com/file/d/13d8BvIGVism0PGc1IOHf5H6WSXjr3LIO/view?usp=drivesdk")</f>
        <v>https://drive.google.com/file/d/13d8BvIGVism0PGc1IOHf5H6WSXjr3LIO/view?usp=drivesdk</v>
      </c>
      <c r="M30" s="6" t="str">
        <f>IFERROR(__xludf.DUMMYFUNCTION("""COMPUTED_VALUE"""),"-")</f>
        <v>-</v>
      </c>
    </row>
    <row r="31">
      <c r="A31" s="6" t="str">
        <f>IFERROR(__xludf.DUMMYFUNCTION("""COMPUTED_VALUE"""),"016/SPK-UINJKT-PU/I/2026")</f>
        <v>016/SPK-UINJKT-PU/I/2026</v>
      </c>
      <c r="B31" s="6" t="str">
        <f>IFERROR(__xludf.DUMMYFUNCTION("""COMPUTED_VALUE"""),"SURAT PERJANJIAN KERJASAMA PEMERIKSAAN LPH DENGAN PU")</f>
        <v>SURAT PERJANJIAN KERJASAMA PEMERIKSAAN LPH DENGAN PU</v>
      </c>
      <c r="C31" s="4"/>
      <c r="D31" s="6">
        <f>IFERROR(__xludf.DUMMYFUNCTION("""COMPUTED_VALUE"""),29.0)</f>
        <v>29</v>
      </c>
      <c r="E31" s="6" t="str">
        <f>IFERROR(__xludf.DUMMYFUNCTION("""COMPUTED_VALUE"""),"SH2026-1-2017256")</f>
        <v>SH2026-1-2017256</v>
      </c>
      <c r="F31" s="6" t="str">
        <f>IFERROR(__xludf.DUMMYFUNCTION("""COMPUTED_VALUE"""),"AURORA REMPAH NUSANTARA")</f>
        <v>AURORA REMPAH NUSANTARA</v>
      </c>
      <c r="G31" s="6" t="str">
        <f>IFERROR(__xludf.DUMMYFUNCTION("""COMPUTED_VALUE"""),"Penyediaan makanan dan minuman dengan pengolahan")</f>
        <v>Penyediaan makanan dan minuman dengan pengolahan</v>
      </c>
      <c r="H31" s="6" t="str">
        <f>IFERROR(__xludf.DUMMYFUNCTION("""COMPUTED_VALUE"""),"Jumat, 17 April 2026")</f>
        <v>Jumat, 17 April 2026</v>
      </c>
      <c r="I31" s="6" t="str">
        <f>IFERROR(__xludf.DUMMYFUNCTION("""COMPUTED_VALUE"""),"113")</f>
        <v>113</v>
      </c>
      <c r="J31" s="6" t="str">
        <f>IFERROR(__xludf.DUMMYFUNCTION("""COMPUTED_VALUE"""),"114")</f>
        <v>114</v>
      </c>
      <c r="K31" s="7" t="str">
        <f>IFERROR(__xludf.DUMMYFUNCTION("""COMPUTED_VALUE"""),"https://drive.google.com/file/d/10wgDLTyS14LEer9FLtk2UyWq7YnMTV99/view?usp=drivesdk")</f>
        <v>https://drive.google.com/file/d/10wgDLTyS14LEer9FLtk2UyWq7YnMTV99/view?usp=drivesdk</v>
      </c>
      <c r="L31" s="7" t="str">
        <f>IFERROR(__xludf.DUMMYFUNCTION("""COMPUTED_VALUE"""),"https://drive.google.com/file/d/1nL9PqYwDzNY100YymL3Z-WadPmdUwEh6/view?usp=drivesdk")</f>
        <v>https://drive.google.com/file/d/1nL9PqYwDzNY100YymL3Z-WadPmdUwEh6/view?usp=drivesdk</v>
      </c>
      <c r="M31" s="7" t="str">
        <f>IFERROR(__xludf.DUMMYFUNCTION("""COMPUTED_VALUE"""),"https://drive.google.com/file/d/1rsWc6-SA91V2ObuNbBCLzDowzuCXOxVU/view?usp=drivesdk")</f>
        <v>https://drive.google.com/file/d/1rsWc6-SA91V2ObuNbBCLzDowzuCXOxVU/view?usp=drivesdk</v>
      </c>
    </row>
    <row r="32">
      <c r="A32" s="6" t="str">
        <f>IFERROR(__xludf.DUMMYFUNCTION("""COMPUTED_VALUE"""),"017/SE/LPH/I/2026")</f>
        <v>017/SE/LPH/I/2026</v>
      </c>
      <c r="B32" s="6" t="str">
        <f>IFERROR(__xludf.DUMMYFUNCTION("""COMPUTED_VALUE"""),"Permohonan Pencairan Dana Sertifikasi Halal Pelaku Usaha ")</f>
        <v>Permohonan Pencairan Dana Sertifikasi Halal Pelaku Usaha </v>
      </c>
      <c r="C32" s="4"/>
      <c r="D32" s="6">
        <f>IFERROR(__xludf.DUMMYFUNCTION("""COMPUTED_VALUE"""),30.0)</f>
        <v>30</v>
      </c>
      <c r="E32" s="6" t="str">
        <f>IFERROR(__xludf.DUMMYFUNCTION("""COMPUTED_VALUE"""),"SH2026-1-2016345")</f>
        <v>SH2026-1-2016345</v>
      </c>
      <c r="F32" s="6" t="str">
        <f>IFERROR(__xludf.DUMMYFUNCTION("""COMPUTED_VALUE"""),"Ir. Daniel I.M.S")</f>
        <v>Ir. Daniel I.M.S</v>
      </c>
      <c r="G32" s="6" t="str">
        <f>IFERROR(__xludf.DUMMYFUNCTION("""COMPUTED_VALUE"""),"Jasa pendistribusian")</f>
        <v>Jasa pendistribusian</v>
      </c>
      <c r="H32" s="6" t="str">
        <f>IFERROR(__xludf.DUMMYFUNCTION("""COMPUTED_VALUE"""),"Jumat, 17 April 2026")</f>
        <v>Jumat, 17 April 2026</v>
      </c>
      <c r="I32" s="6" t="str">
        <f>IFERROR(__xludf.DUMMYFUNCTION("""COMPUTED_VALUE"""),"108")</f>
        <v>108</v>
      </c>
      <c r="J32" s="6" t="str">
        <f>IFERROR(__xludf.DUMMYFUNCTION("""COMPUTED_VALUE"""),"-")</f>
        <v>-</v>
      </c>
      <c r="K32" s="7" t="str">
        <f>IFERROR(__xludf.DUMMYFUNCTION("""COMPUTED_VALUE"""),"https://drive.google.com/file/d/1YRISNc1j50SCuipERdrnK5c_grcyvUem/view?usp=drivesdk")</f>
        <v>https://drive.google.com/file/d/1YRISNc1j50SCuipERdrnK5c_grcyvUem/view?usp=drivesdk</v>
      </c>
      <c r="L32" s="6" t="str">
        <f>IFERROR(__xludf.DUMMYFUNCTION("""COMPUTED_VALUE"""),"-")</f>
        <v>-</v>
      </c>
      <c r="M32" s="6" t="str">
        <f>IFERROR(__xludf.DUMMYFUNCTION("""COMPUTED_VALUE"""),"-")</f>
        <v>-</v>
      </c>
    </row>
    <row r="33">
      <c r="A33" s="6" t="str">
        <f>IFERROR(__xludf.DUMMYFUNCTION("""COMPUTED_VALUE"""),"SPH-018/LPH-UINJKT/I/2026")</f>
        <v>SPH-018/LPH-UINJKT/I/2026</v>
      </c>
      <c r="B33" s="6" t="str">
        <f>IFERROR(__xludf.DUMMYFUNCTION("""COMPUTED_VALUE"""),"SURAT PENAWARAN HARGA (QUOTATION)")</f>
        <v>SURAT PENAWARAN HARGA (QUOTATION)</v>
      </c>
      <c r="C33" s="4"/>
      <c r="D33" s="6">
        <f>IFERROR(__xludf.DUMMYFUNCTION("""COMPUTED_VALUE"""),31.0)</f>
        <v>31</v>
      </c>
      <c r="E33" s="6" t="str">
        <f>IFERROR(__xludf.DUMMYFUNCTION("""COMPUTED_VALUE"""),"SH2026-1-2070152")</f>
        <v>SH2026-1-2070152</v>
      </c>
      <c r="F33" s="6" t="str">
        <f>IFERROR(__xludf.DUMMYFUNCTION("""COMPUTED_VALUE"""),"ANUGERAH KENYANG BERSAMA")</f>
        <v>ANUGERAH KENYANG BERSAMA</v>
      </c>
      <c r="G33" s="6" t="str">
        <f>IFERROR(__xludf.DUMMYFUNCTION("""COMPUTED_VALUE"""),"Penyediaan makanan dan minuman dengan pengolahan")</f>
        <v>Penyediaan makanan dan minuman dengan pengolahan</v>
      </c>
      <c r="H33" s="6" t="str">
        <f>IFERROR(__xludf.DUMMYFUNCTION("""COMPUTED_VALUE"""),"Senin, 20 April 2026")</f>
        <v>Senin, 20 April 2026</v>
      </c>
      <c r="I33" s="6" t="str">
        <f>IFERROR(__xludf.DUMMYFUNCTION("""COMPUTED_VALUE"""),"117")</f>
        <v>117</v>
      </c>
      <c r="J33" s="6" t="str">
        <f>IFERROR(__xludf.DUMMYFUNCTION("""COMPUTED_VALUE"""),"116")</f>
        <v>116</v>
      </c>
      <c r="K33" s="7" t="str">
        <f>IFERROR(__xludf.DUMMYFUNCTION("""COMPUTED_VALUE"""),"https://drive.google.com/file/d/1owVfY5CUFBG1mnTHCD_L0qidMURXa8Wy/view?usp=drivesdk")</f>
        <v>https://drive.google.com/file/d/1owVfY5CUFBG1mnTHCD_L0qidMURXa8Wy/view?usp=drivesdk</v>
      </c>
      <c r="L33" s="7" t="str">
        <f>IFERROR(__xludf.DUMMYFUNCTION("""COMPUTED_VALUE"""),"https://drive.google.com/file/d/1wOlyKez7EFbavrHGDNo6O6M8sV8a6uCo/view?usp=drivesdk")</f>
        <v>https://drive.google.com/file/d/1wOlyKez7EFbavrHGDNo6O6M8sV8a6uCo/view?usp=drivesdk</v>
      </c>
      <c r="M33" s="7" t="str">
        <f>IFERROR(__xludf.DUMMYFUNCTION("""COMPUTED_VALUE"""),"https://drive.google.com/file/d/1BVXE5Xd6nXomiVhYsc2Ym59NPfrJHxLd/view?usp=drivesdk")</f>
        <v>https://drive.google.com/file/d/1BVXE5Xd6nXomiVhYsc2Ym59NPfrJHxLd/view?usp=drivesdk</v>
      </c>
    </row>
    <row r="34">
      <c r="A34" s="6" t="str">
        <f>IFERROR(__xludf.DUMMYFUNCTION("""COMPUTED_VALUE"""),"019/SE/LPH/I/2026")</f>
        <v>019/SE/LPH/I/2026</v>
      </c>
      <c r="B34" s="6" t="str">
        <f>IFERROR(__xludf.DUMMYFUNCTION("""COMPUTED_VALUE"""),"Permohonan Kantor LPH")</f>
        <v>Permohonan Kantor LPH</v>
      </c>
      <c r="C34" s="4"/>
      <c r="D34" s="6">
        <f>IFERROR(__xludf.DUMMYFUNCTION("""COMPUTED_VALUE"""),32.0)</f>
        <v>32</v>
      </c>
      <c r="E34" s="6" t="str">
        <f>IFERROR(__xludf.DUMMYFUNCTION("""COMPUTED_VALUE"""),"SH2026-1-2112050")</f>
        <v>SH2026-1-2112050</v>
      </c>
      <c r="F34" s="6" t="str">
        <f>IFERROR(__xludf.DUMMYFUNCTION("""COMPUTED_VALUE"""),"NADYA AISSYAH MAHARINI")</f>
        <v>NADYA AISSYAH MAHARINI</v>
      </c>
      <c r="G34" s="6" t="str">
        <f>IFERROR(__xludf.DUMMYFUNCTION("""COMPUTED_VALUE"""),"Serealia dan produk serealia yang merupakan produk turunan dari biji serealia, akar dan umbi, kacang-kacangan dan empulur dengan pengolahan dan penambahan bahan tambahan pangan")</f>
        <v>Serealia dan produk serealia yang merupakan produk turunan dari biji serealia, akar dan umbi, kacang-kacangan dan empulur dengan pengolahan dan penambahan bahan tambahan pangan</v>
      </c>
      <c r="H34" s="6" t="str">
        <f>IFERROR(__xludf.DUMMYFUNCTION("""COMPUTED_VALUE"""),"Senin, 20 April 2026")</f>
        <v>Senin, 20 April 2026</v>
      </c>
      <c r="I34" s="6" t="str">
        <f>IFERROR(__xludf.DUMMYFUNCTION("""COMPUTED_VALUE"""),"119")</f>
        <v>119</v>
      </c>
      <c r="J34" s="6" t="str">
        <f>IFERROR(__xludf.DUMMYFUNCTION("""COMPUTED_VALUE"""),"118")</f>
        <v>118</v>
      </c>
      <c r="K34" s="7" t="str">
        <f>IFERROR(__xludf.DUMMYFUNCTION("""COMPUTED_VALUE"""),"https://drive.google.com/file/d/1-XnsIZOZYjGPnLcB_NZhGwGDcm5vOk6b/view?usp=drivesdk")</f>
        <v>https://drive.google.com/file/d/1-XnsIZOZYjGPnLcB_NZhGwGDcm5vOk6b/view?usp=drivesdk</v>
      </c>
      <c r="L34" s="7" t="str">
        <f>IFERROR(__xludf.DUMMYFUNCTION("""COMPUTED_VALUE"""),"https://drive.google.com/file/d/11LkAza_A2nLQhj4z6NtpdBIy5da5-n-_/view?usp=drivesdk")</f>
        <v>https://drive.google.com/file/d/11LkAza_A2nLQhj4z6NtpdBIy5da5-n-_/view?usp=drivesdk</v>
      </c>
      <c r="M34" s="7" t="str">
        <f>IFERROR(__xludf.DUMMYFUNCTION("""COMPUTED_VALUE"""),"https://drive.google.com/file/d/1FCv0VeAzQUfsRoradFch0G3_mNczJmf8/view?usp=drivesdk")</f>
        <v>https://drive.google.com/file/d/1FCv0VeAzQUfsRoradFch0G3_mNczJmf8/view?usp=drivesdk</v>
      </c>
    </row>
    <row r="35">
      <c r="A35" s="6" t="str">
        <f>IFERROR(__xludf.DUMMYFUNCTION("""COMPUTED_VALUE"""),"SPH-020/LPH-UINJKT/I/2026")</f>
        <v>SPH-020/LPH-UINJKT/I/2026</v>
      </c>
      <c r="B35" s="6" t="str">
        <f>IFERROR(__xludf.DUMMYFUNCTION("""COMPUTED_VALUE"""),"SURAT PENAWARAN HARGA (QUOTATION)")</f>
        <v>SURAT PENAWARAN HARGA (QUOTATION)</v>
      </c>
      <c r="C35" s="4"/>
      <c r="D35" s="6">
        <f>IFERROR(__xludf.DUMMYFUNCTION("""COMPUTED_VALUE"""),33.0)</f>
        <v>33</v>
      </c>
      <c r="E35" s="6" t="str">
        <f>IFERROR(__xludf.DUMMYFUNCTION("""COMPUTED_VALUE"""),"SH2026-1-2109676")</f>
        <v>SH2026-1-2109676</v>
      </c>
      <c r="F35" s="6" t="str">
        <f>IFERROR(__xludf.DUMMYFUNCTION("""COMPUTED_VALUE"""),"IQBAL MUBAROK")</f>
        <v>IQBAL MUBAROK</v>
      </c>
      <c r="G35" s="6" t="str">
        <f>IFERROR(__xludf.DUMMYFUNCTION("""COMPUTED_VALUE"""),"Penyediaan makanan dan minuman dengan pengolahan")</f>
        <v>Penyediaan makanan dan minuman dengan pengolahan</v>
      </c>
      <c r="H35" s="6" t="str">
        <f>IFERROR(__xludf.DUMMYFUNCTION("""COMPUTED_VALUE"""),"Jumat. 01 Mei 2026")</f>
        <v>Jumat. 01 Mei 2026</v>
      </c>
      <c r="I35" s="6" t="str">
        <f>IFERROR(__xludf.DUMMYFUNCTION("""COMPUTED_VALUE"""),"127")</f>
        <v>127</v>
      </c>
      <c r="J35" s="6">
        <f>IFERROR(__xludf.DUMMYFUNCTION("""COMPUTED_VALUE"""),128.0)</f>
        <v>128</v>
      </c>
      <c r="K35" s="7" t="str">
        <f>IFERROR(__xludf.DUMMYFUNCTION("""COMPUTED_VALUE"""),"https://drive.google.com/file/d/1ljVuD47LDYM1Y9zK4ov5WM_yaJ8aXUiO/view?usp=drivesdk")</f>
        <v>https://drive.google.com/file/d/1ljVuD47LDYM1Y9zK4ov5WM_yaJ8aXUiO/view?usp=drivesdk</v>
      </c>
      <c r="L35" s="7" t="str">
        <f>IFERROR(__xludf.DUMMYFUNCTION("""COMPUTED_VALUE"""),"https://drive.google.com/file/d/12qh_QxqJmuo3jH6MbijFbhxvigVWhjuq/view?usp=drivesdk")</f>
        <v>https://drive.google.com/file/d/12qh_QxqJmuo3jH6MbijFbhxvigVWhjuq/view?usp=drivesdk</v>
      </c>
      <c r="M35" s="6"/>
    </row>
    <row r="36">
      <c r="A36" s="6" t="str">
        <f>IFERROR(__xludf.DUMMYFUNCTION("""COMPUTED_VALUE"""),"SPH-021/LPH-UINJKT/I/2026")</f>
        <v>SPH-021/LPH-UINJKT/I/2026</v>
      </c>
      <c r="B36" s="6" t="str">
        <f>IFERROR(__xludf.DUMMYFUNCTION("""COMPUTED_VALUE"""),"SURAT PENAWARAN HARGA (QUOTATION)")</f>
        <v>SURAT PENAWARAN HARGA (QUOTATION)</v>
      </c>
      <c r="C36" s="4"/>
      <c r="D36" s="6">
        <f>IFERROR(__xludf.DUMMYFUNCTION("""COMPUTED_VALUE"""),34.0)</f>
        <v>34</v>
      </c>
      <c r="E36" s="6" t="str">
        <f>IFERROR(__xludf.DUMMYFUNCTION("""COMPUTED_VALUE"""),"SH2026-1-2145000")</f>
        <v>SH2026-1-2145000</v>
      </c>
      <c r="F36" s="6" t="str">
        <f>IFERROR(__xludf.DUMMYFUNCTION("""COMPUTED_VALUE"""),"USWATUN KHASANAH")</f>
        <v>USWATUN KHASANAH</v>
      </c>
      <c r="G36" s="6" t="str">
        <f>IFERROR(__xludf.DUMMYFUNCTION("""COMPUTED_VALUE"""),"Serealia dan produk serealia yang merupakan produk turunan dari biji serealia, akar dan umbi, kacang-kacangan dan empulur dengan pengolahan dan penambahan bahan tambahan pangan")</f>
        <v>Serealia dan produk serealia yang merupakan produk turunan dari biji serealia, akar dan umbi, kacang-kacangan dan empulur dengan pengolahan dan penambahan bahan tambahan pangan</v>
      </c>
      <c r="H36" s="6" t="str">
        <f>IFERROR(__xludf.DUMMYFUNCTION("""COMPUTED_VALUE"""),"Jumat, 01 Mei 2026")</f>
        <v>Jumat, 01 Mei 2026</v>
      </c>
      <c r="I36" s="6" t="str">
        <f>IFERROR(__xludf.DUMMYFUNCTION("""COMPUTED_VALUE"""),"130")</f>
        <v>130</v>
      </c>
      <c r="J36" s="6">
        <f>IFERROR(__xludf.DUMMYFUNCTION("""COMPUTED_VALUE"""),129.0)</f>
        <v>129</v>
      </c>
      <c r="K36" s="7" t="str">
        <f>IFERROR(__xludf.DUMMYFUNCTION("""COMPUTED_VALUE"""),"https://drive.google.com/file/d/1CY9VQvi3gbms8pLrO9i8JM9YQS0w1EEM/view?usp=drivesdk")</f>
        <v>https://drive.google.com/file/d/1CY9VQvi3gbms8pLrO9i8JM9YQS0w1EEM/view?usp=drivesdk</v>
      </c>
      <c r="L36" s="7" t="str">
        <f>IFERROR(__xludf.DUMMYFUNCTION("""COMPUTED_VALUE"""),"https://drive.google.com/file/d/1i9IWg58cRAHLh_zQdNHUeve4FdalRyC0/view?usp=drivesdk")</f>
        <v>https://drive.google.com/file/d/1i9IWg58cRAHLh_zQdNHUeve4FdalRyC0/view?usp=drivesdk</v>
      </c>
      <c r="M36" s="6" t="str">
        <f>IFERROR(__xludf.DUMMYFUNCTION("""COMPUTED_VALUE"""),"-")</f>
        <v>-</v>
      </c>
    </row>
    <row r="37">
      <c r="A37" s="6" t="str">
        <f>IFERROR(__xludf.DUMMYFUNCTION("""COMPUTED_VALUE"""),"022/SE/LPH/I/2026")</f>
        <v>022/SE/LPH/I/2026</v>
      </c>
      <c r="B37" s="6" t="str">
        <f>IFERROR(__xludf.DUMMYFUNCTION("""COMPUTED_VALUE"""),"SURAT TUGAS AUDIT ")</f>
        <v>SURAT TUGAS AUDIT </v>
      </c>
      <c r="C37" s="4"/>
      <c r="D37" s="6">
        <f>IFERROR(__xludf.DUMMYFUNCTION("""COMPUTED_VALUE"""),35.0)</f>
        <v>35</v>
      </c>
      <c r="E37" s="6" t="str">
        <f>IFERROR(__xludf.DUMMYFUNCTION("""COMPUTED_VALUE"""),"SH2026-1-2208667")</f>
        <v>SH2026-1-2208667</v>
      </c>
      <c r="F37" s="6" t="str">
        <f>IFERROR(__xludf.DUMMYFUNCTION("""COMPUTED_VALUE"""),"ANTASENA BANGUN BERSAMA")</f>
        <v>ANTASENA BANGUN BERSAMA</v>
      </c>
      <c r="G37" s="6" t="str">
        <f>IFERROR(__xludf.DUMMYFUNCTION("""COMPUTED_VALUE"""),"Penyediaan makanan dan minuman dengan pengolahan")</f>
        <v>Penyediaan makanan dan minuman dengan pengolahan</v>
      </c>
      <c r="H37" s="6" t="str">
        <f>IFERROR(__xludf.DUMMYFUNCTION("""COMPUTED_VALUE"""),"Kamis, 07 Mei 2026")</f>
        <v>Kamis, 07 Mei 2026</v>
      </c>
      <c r="I37" s="6" t="str">
        <f>IFERROR(__xludf.DUMMYFUNCTION("""COMPUTED_VALUE"""),"139")</f>
        <v>139</v>
      </c>
      <c r="J37" s="6" t="str">
        <f>IFERROR(__xludf.DUMMYFUNCTION("""COMPUTED_VALUE"""),"-")</f>
        <v>-</v>
      </c>
      <c r="K37" s="7" t="str">
        <f>IFERROR(__xludf.DUMMYFUNCTION("""COMPUTED_VALUE"""),"https://drive.google.com/file/d/1PUfFMMc9mzkMGyppCQjpCBrRutj7h70w/view?usp=drivesdk")</f>
        <v>https://drive.google.com/file/d/1PUfFMMc9mzkMGyppCQjpCBrRutj7h70w/view?usp=drivesdk</v>
      </c>
      <c r="L37" s="6" t="str">
        <f>IFERROR(__xludf.DUMMYFUNCTION("""COMPUTED_VALUE"""),"-")</f>
        <v>-</v>
      </c>
      <c r="M37" s="6" t="str">
        <f>IFERROR(__xludf.DUMMYFUNCTION("""COMPUTED_VALUE"""),"-")</f>
        <v>-</v>
      </c>
    </row>
    <row r="38">
      <c r="A38" s="6" t="str">
        <f>IFERROR(__xludf.DUMMYFUNCTION("""COMPUTED_VALUE"""),"023/SPK-UINJKT-PU/I/2026")</f>
        <v>023/SPK-UINJKT-PU/I/2026</v>
      </c>
      <c r="B38" s="6" t="str">
        <f>IFERROR(__xludf.DUMMYFUNCTION("""COMPUTED_VALUE"""),"SURAT PERJANJIAN KERJASAMA PEMERIKSAAN LPH DENGAN PU")</f>
        <v>SURAT PERJANJIAN KERJASAMA PEMERIKSAAN LPH DENGAN PU</v>
      </c>
      <c r="C38" s="4"/>
      <c r="D38" s="6">
        <f>IFERROR(__xludf.DUMMYFUNCTION("""COMPUTED_VALUE"""),36.0)</f>
        <v>36</v>
      </c>
      <c r="E38" s="6" t="str">
        <f>IFERROR(__xludf.DUMMYFUNCTION("""COMPUTED_VALUE"""),"SH2026-1-2208678")</f>
        <v>SH2026-1-2208678</v>
      </c>
      <c r="F38" s="6" t="str">
        <f>IFERROR(__xludf.DUMMYFUNCTION("""COMPUTED_VALUE"""),"ANTASENA BANGUN BERSAMA")</f>
        <v>ANTASENA BANGUN BERSAMA</v>
      </c>
      <c r="G38" s="6" t="str">
        <f>IFERROR(__xludf.DUMMYFUNCTION("""COMPUTED_VALUE"""),"Penyediaan makanan dan minuman dengan pengolahan")</f>
        <v>Penyediaan makanan dan minuman dengan pengolahan</v>
      </c>
      <c r="H38" s="6" t="str">
        <f>IFERROR(__xludf.DUMMYFUNCTION("""COMPUTED_VALUE"""),"Kamis, 07 Mei 2026")</f>
        <v>Kamis, 07 Mei 2026</v>
      </c>
      <c r="I38" s="6" t="str">
        <f>IFERROR(__xludf.DUMMYFUNCTION("""COMPUTED_VALUE"""),"140")</f>
        <v>140</v>
      </c>
      <c r="J38" s="6" t="str">
        <f>IFERROR(__xludf.DUMMYFUNCTION("""COMPUTED_VALUE"""),"-")</f>
        <v>-</v>
      </c>
      <c r="K38" s="7" t="str">
        <f>IFERROR(__xludf.DUMMYFUNCTION("""COMPUTED_VALUE"""),"https://drive.google.com/file/d/1Yso3T6VnJ8Gldp2PLqwMvmJxGdWpsnsb/view?usp=drivesdk")</f>
        <v>https://drive.google.com/file/d/1Yso3T6VnJ8Gldp2PLqwMvmJxGdWpsnsb/view?usp=drivesdk</v>
      </c>
      <c r="L38" s="6" t="str">
        <f>IFERROR(__xludf.DUMMYFUNCTION("""COMPUTED_VALUE"""),"-")</f>
        <v>-</v>
      </c>
      <c r="M38" s="6" t="str">
        <f>IFERROR(__xludf.DUMMYFUNCTION("""COMPUTED_VALUE"""),"-")</f>
        <v>-</v>
      </c>
    </row>
    <row r="39">
      <c r="A39" s="6" t="str">
        <f>IFERROR(__xludf.DUMMYFUNCTION("""COMPUTED_VALUE"""),"024/SE/LPH/I/2026")</f>
        <v>024/SE/LPH/I/2026</v>
      </c>
      <c r="B39" s="6" t="str">
        <f>IFERROR(__xludf.DUMMYFUNCTION("""COMPUTED_VALUE"""),"Surat Keterangan Proses Sertifikasi Halal")</f>
        <v>Surat Keterangan Proses Sertifikasi Halal</v>
      </c>
      <c r="C39" s="4"/>
      <c r="D39" s="6">
        <f>IFERROR(__xludf.DUMMYFUNCTION("""COMPUTED_VALUE"""),37.0)</f>
        <v>37</v>
      </c>
      <c r="E39" s="6" t="str">
        <f>IFERROR(__xludf.DUMMYFUNCTION("""COMPUTED_VALUE"""),"SH2026-1-2208678")</f>
        <v>SH2026-1-2208678</v>
      </c>
      <c r="F39" s="6" t="str">
        <f>IFERROR(__xludf.DUMMYFUNCTION("""COMPUTED_VALUE"""),"DELTA EXACT CENDEKIA")</f>
        <v>DELTA EXACT CENDEKIA</v>
      </c>
      <c r="G39" s="6" t="str">
        <f>IFERROR(__xludf.DUMMYFUNCTION("""COMPUTED_VALUE"""),"Penyediaan makanan dan minuman dengan pengolahan")</f>
        <v>Penyediaan makanan dan minuman dengan pengolahan</v>
      </c>
      <c r="H39" s="6" t="str">
        <f>IFERROR(__xludf.DUMMYFUNCTION("""COMPUTED_VALUE"""),"Senin, 11 Mei 2026")</f>
        <v>Senin, 11 Mei 2026</v>
      </c>
      <c r="I39" s="6" t="str">
        <f>IFERROR(__xludf.DUMMYFUNCTION("""COMPUTED_VALUE"""),"143")</f>
        <v>143</v>
      </c>
      <c r="J39" s="6" t="str">
        <f>IFERROR(__xludf.DUMMYFUNCTION("""COMPUTED_VALUE"""),"-")</f>
        <v>-</v>
      </c>
      <c r="K39" s="7" t="str">
        <f>IFERROR(__xludf.DUMMYFUNCTION("""COMPUTED_VALUE"""),"https://drive.google.com/file/d/1SFSEPrvupnTHlqU2CPw_XAVYiyX2E0os/view?usp=drivesdk")</f>
        <v>https://drive.google.com/file/d/1SFSEPrvupnTHlqU2CPw_XAVYiyX2E0os/view?usp=drivesdk</v>
      </c>
      <c r="L39" s="6" t="str">
        <f>IFERROR(__xludf.DUMMYFUNCTION("""COMPUTED_VALUE"""),"-")</f>
        <v>-</v>
      </c>
      <c r="M39" s="6" t="str">
        <f>IFERROR(__xludf.DUMMYFUNCTION("""COMPUTED_VALUE"""),"-")</f>
        <v>-</v>
      </c>
    </row>
    <row r="40">
      <c r="A40" s="6" t="str">
        <f>IFERROR(__xludf.DUMMYFUNCTION("""COMPUTED_VALUE"""),"025/SE/LPH/I/2026")</f>
        <v>025/SE/LPH/I/2026</v>
      </c>
      <c r="B40" s="6" t="str">
        <f>IFERROR(__xludf.DUMMYFUNCTION("""COMPUTED_VALUE"""),"SURAT TUGAS AUDIT ")</f>
        <v>SURAT TUGAS AUDIT </v>
      </c>
      <c r="C40" s="4"/>
      <c r="D40" s="6">
        <f>IFERROR(__xludf.DUMMYFUNCTION("""COMPUTED_VALUE"""),38.0)</f>
        <v>38</v>
      </c>
      <c r="E40" s="6" t="str">
        <f>IFERROR(__xludf.DUMMYFUNCTION("""COMPUTED_VALUE"""),"SH2026-1-2208689")</f>
        <v>SH2026-1-2208689</v>
      </c>
      <c r="F40" s="6" t="str">
        <f>IFERROR(__xludf.DUMMYFUNCTION("""COMPUTED_VALUE"""),"RIANG RIANG GEMBIRA")</f>
        <v>RIANG RIANG GEMBIRA</v>
      </c>
      <c r="G40" s="6" t="str">
        <f>IFERROR(__xludf.DUMMYFUNCTION("""COMPUTED_VALUE"""),"Penyediaan makanan dan minuman dengan pengolahan")</f>
        <v>Penyediaan makanan dan minuman dengan pengolahan</v>
      </c>
      <c r="H40" s="6" t="str">
        <f>IFERROR(__xludf.DUMMYFUNCTION("""COMPUTED_VALUE"""),"Senin, 11 Mei 2026")</f>
        <v>Senin, 11 Mei 2026</v>
      </c>
      <c r="I40" s="6" t="str">
        <f>IFERROR(__xludf.DUMMYFUNCTION("""COMPUTED_VALUE"""),"144")</f>
        <v>144</v>
      </c>
      <c r="J40" s="6" t="str">
        <f>IFERROR(__xludf.DUMMYFUNCTION("""COMPUTED_VALUE"""),"-")</f>
        <v>-</v>
      </c>
      <c r="K40" s="7" t="str">
        <f>IFERROR(__xludf.DUMMYFUNCTION("""COMPUTED_VALUE"""),"https://drive.google.com/file/d/1eCLenSR1kHkSCQL1t6RrPHq3WtlAy39A/view?usp=drivesdk")</f>
        <v>https://drive.google.com/file/d/1eCLenSR1kHkSCQL1t6RrPHq3WtlAy39A/view?usp=drivesdk</v>
      </c>
      <c r="L40" s="6" t="str">
        <f>IFERROR(__xludf.DUMMYFUNCTION("""COMPUTED_VALUE"""),"-")</f>
        <v>-</v>
      </c>
      <c r="M40" s="6" t="str">
        <f>IFERROR(__xludf.DUMMYFUNCTION("""COMPUTED_VALUE"""),"-")</f>
        <v>-</v>
      </c>
    </row>
    <row r="41">
      <c r="A41" s="6" t="str">
        <f>IFERROR(__xludf.DUMMYFUNCTION("""COMPUTED_VALUE"""),"026/SPK-UINJKT-PU/I/2026")</f>
        <v>026/SPK-UINJKT-PU/I/2026</v>
      </c>
      <c r="B41" s="6" t="str">
        <f>IFERROR(__xludf.DUMMYFUNCTION("""COMPUTED_VALUE"""),"SURAT PERJANJIAN KERJASAMA PEMERIKSAAN LPH DENGAN PU")</f>
        <v>SURAT PERJANJIAN KERJASAMA PEMERIKSAAN LPH DENGAN PU</v>
      </c>
      <c r="C41" s="4"/>
      <c r="D41" s="6">
        <f>IFERROR(__xludf.DUMMYFUNCTION("""COMPUTED_VALUE"""),39.0)</f>
        <v>39</v>
      </c>
      <c r="E41" s="6" t="str">
        <f>IFERROR(__xludf.DUMMYFUNCTION("""COMPUTED_VALUE"""),"SH2026-1-1422456")</f>
        <v>SH2026-1-1422456</v>
      </c>
      <c r="F41" s="6" t="str">
        <f>IFERROR(__xludf.DUMMYFUNCTION("""COMPUTED_VALUE"""),"PT. LEAN LAB INDONESIA")</f>
        <v>PT. LEAN LAB INDONESIA</v>
      </c>
      <c r="G41" s="6" t="str">
        <f>IFERROR(__xludf.DUMMYFUNCTION("""COMPUTED_VALUE"""),"Garam, rempah, sup, saus, salad, serta produk protein")</f>
        <v>Garam, rempah, sup, saus, salad, serta produk protein</v>
      </c>
      <c r="H41" s="6" t="str">
        <f>IFERROR(__xludf.DUMMYFUNCTION("""COMPUTED_VALUE"""),"Senin, 14 Januari 2026")</f>
        <v>Senin, 14 Januari 2026</v>
      </c>
      <c r="I41" s="6" t="str">
        <f>IFERROR(__xludf.DUMMYFUNCTION("""COMPUTED_VALUE"""),"009")</f>
        <v>009</v>
      </c>
      <c r="J41" s="6" t="str">
        <f>IFERROR(__xludf.DUMMYFUNCTION("""COMPUTED_VALUE"""),"010")</f>
        <v>010</v>
      </c>
      <c r="K41" s="7" t="str">
        <f>IFERROR(__xludf.DUMMYFUNCTION("""COMPUTED_VALUE"""),"https://drive.google.com/file/d/1tIG-wsbl0QSmtwtmiXtpgwtUpgB8VGh-/view?usp=drivesdk")</f>
        <v>https://drive.google.com/file/d/1tIG-wsbl0QSmtwtmiXtpgwtUpgB8VGh-/view?usp=drivesdk</v>
      </c>
      <c r="L41" s="7" t="str">
        <f>IFERROR(__xludf.DUMMYFUNCTION("""COMPUTED_VALUE"""),"https://drive.google.com/file/d/1gPinhmTNPZgRF9OMAByXxkiMajbNQ4Mz/view?usp=drivesdk")</f>
        <v>https://drive.google.com/file/d/1gPinhmTNPZgRF9OMAByXxkiMajbNQ4Mz/view?usp=drivesdk</v>
      </c>
      <c r="M41" s="7" t="str">
        <f>IFERROR(__xludf.DUMMYFUNCTION("""COMPUTED_VALUE"""),"https://drive.google.com/file/d/1Ns2Io2LXtkRhbreQzhKXCFo6Sbu2QNix/view?usp=drivesdk")</f>
        <v>https://drive.google.com/file/d/1Ns2Io2LXtkRhbreQzhKXCFo6Sbu2QNix/view?usp=drivesdk</v>
      </c>
    </row>
    <row r="42">
      <c r="A42" s="6" t="str">
        <f>IFERROR(__xludf.DUMMYFUNCTION("""COMPUTED_VALUE"""),"027/SE/LPH/I/2026")</f>
        <v>027/SE/LPH/I/2026</v>
      </c>
      <c r="B42" s="6" t="str">
        <f>IFERROR(__xludf.DUMMYFUNCTION("""COMPUTED_VALUE"""),"SURAT TUGAS AUDIT ")</f>
        <v>SURAT TUGAS AUDIT </v>
      </c>
      <c r="C42" s="4"/>
      <c r="D42" s="6">
        <f>IFERROR(__xludf.DUMMYFUNCTION("""COMPUTED_VALUE"""),40.0)</f>
        <v>40</v>
      </c>
      <c r="E42" s="6" t="str">
        <f>IFERROR(__xludf.DUMMYFUNCTION("""COMPUTED_VALUE"""),"SH2026-1-1730125")</f>
        <v>SH2026-1-1730125</v>
      </c>
      <c r="F42" s="6" t="str">
        <f>IFERROR(__xludf.DUMMYFUNCTION("""COMPUTED_VALUE"""),"BLASFOLIE INTERNASIONAL INDONESIA")</f>
        <v>BLASFOLIE INTERNASIONAL INDONESIA</v>
      </c>
      <c r="G42" s="6" t="str">
        <f>IFERROR(__xludf.DUMMYFUNCTION("""COMPUTED_VALUE"""),"Kemasan produk")</f>
        <v>Kemasan produk</v>
      </c>
      <c r="H42" s="6" t="str">
        <f>IFERROR(__xludf.DUMMYFUNCTION("""COMPUTED_VALUE"""),"Jum'at, 06 Maret 2026")</f>
        <v>Jum'at, 06 Maret 2026</v>
      </c>
      <c r="I42" s="6" t="str">
        <f>IFERROR(__xludf.DUMMYFUNCTION("""COMPUTED_VALUE"""),"065")</f>
        <v>065</v>
      </c>
      <c r="J42" s="6" t="str">
        <f>IFERROR(__xludf.DUMMYFUNCTION("""COMPUTED_VALUE"""),"066")</f>
        <v>066</v>
      </c>
      <c r="K42" s="7" t="str">
        <f>IFERROR(__xludf.DUMMYFUNCTION("""COMPUTED_VALUE"""),"https://drive.google.com/file/d/1XurTf5Di8kCM7QhkVBz5ySa_nlaxJVDx/view?usp=drivesdk")</f>
        <v>https://drive.google.com/file/d/1XurTf5Di8kCM7QhkVBz5ySa_nlaxJVDx/view?usp=drivesdk</v>
      </c>
      <c r="L42" s="7" t="str">
        <f>IFERROR(__xludf.DUMMYFUNCTION("""COMPUTED_VALUE"""),"https://drive.google.com/file/d/1vPt9KUzs9xiT4ZyfI_6yvUj1KQvoQ1t7/view?usp=drivesdk")</f>
        <v>https://drive.google.com/file/d/1vPt9KUzs9xiT4ZyfI_6yvUj1KQvoQ1t7/view?usp=drivesdk</v>
      </c>
      <c r="M42" s="7" t="str">
        <f>IFERROR(__xludf.DUMMYFUNCTION("""COMPUTED_VALUE"""),"https://drive.google.com/file/d/1DbA28cALOIZ-bAO_A6mB-1hG14isKOSd/view?usp=drivesdk")</f>
        <v>https://drive.google.com/file/d/1DbA28cALOIZ-bAO_A6mB-1hG14isKOSd/view?usp=drivesdk</v>
      </c>
    </row>
    <row r="43">
      <c r="A43" s="6" t="str">
        <f>IFERROR(__xludf.DUMMYFUNCTION("""COMPUTED_VALUE"""),"028/SPK-UINJKT-PU/I/2026")</f>
        <v>028/SPK-UINJKT-PU/I/2026</v>
      </c>
      <c r="B43" s="6" t="str">
        <f>IFERROR(__xludf.DUMMYFUNCTION("""COMPUTED_VALUE"""),"SURAT PERJANJIAN KERJASAMA PEMERIKSAAN LPH DENGAN PU")</f>
        <v>SURAT PERJANJIAN KERJASAMA PEMERIKSAAN LPH DENGAN PU</v>
      </c>
      <c r="C43" s="4"/>
      <c r="D43" s="6">
        <f>IFERROR(__xludf.DUMMYFUNCTION("""COMPUTED_VALUE"""),41.0)</f>
        <v>41</v>
      </c>
      <c r="E43" s="6" t="str">
        <f>IFERROR(__xludf.DUMMYFUNCTION("""COMPUTED_VALUE"""),"SH2026-1-1708817")</f>
        <v>SH2026-1-1708817</v>
      </c>
      <c r="F43" s="6" t="str">
        <f>IFERROR(__xludf.DUMMYFUNCTION("""COMPUTED_VALUE"""),"ASHRI AFIFI")</f>
        <v>ASHRI AFIFI</v>
      </c>
      <c r="G43" s="6"/>
      <c r="H43" s="6" t="str">
        <f>IFERROR(__xludf.DUMMYFUNCTION("""COMPUTED_VALUE"""),"Rabu, 11 Maret 2026")</f>
        <v>Rabu, 11 Maret 2026</v>
      </c>
      <c r="I43" s="6" t="str">
        <f>IFERROR(__xludf.DUMMYFUNCTION("""COMPUTED_VALUE"""),"067")</f>
        <v>067</v>
      </c>
      <c r="J43" s="6" t="str">
        <f>IFERROR(__xludf.DUMMYFUNCTION("""COMPUTED_VALUE"""),"068")</f>
        <v>068</v>
      </c>
      <c r="K43" s="7" t="str">
        <f>IFERROR(__xludf.DUMMYFUNCTION("""COMPUTED_VALUE"""),"https://drive.google.com/file/d/1U0OSKXA14No5S-e1GxCraXqOW-RwK8iX/view?usp=drivesdk")</f>
        <v>https://drive.google.com/file/d/1U0OSKXA14No5S-e1GxCraXqOW-RwK8iX/view?usp=drivesdk</v>
      </c>
      <c r="L43" s="7" t="str">
        <f>IFERROR(__xludf.DUMMYFUNCTION("""COMPUTED_VALUE"""),"https://drive.google.com/file/d/1hcgycVp6kzsV_EREo3TmjEaWtYI7RbB6/view?usp=drivesdk")</f>
        <v>https://drive.google.com/file/d/1hcgycVp6kzsV_EREo3TmjEaWtYI7RbB6/view?usp=drivesdk</v>
      </c>
      <c r="M43" s="7" t="str">
        <f>IFERROR(__xludf.DUMMYFUNCTION("""COMPUTED_VALUE"""),"https://drive.google.com/file/d/1O88X1SQXiVVq0wndXN1XqF3HNGxBcUGh/view?usp=drivesdk")</f>
        <v>https://drive.google.com/file/d/1O88X1SQXiVVq0wndXN1XqF3HNGxBcUGh/view?usp=drivesdk</v>
      </c>
    </row>
    <row r="44">
      <c r="A44" s="6" t="str">
        <f>IFERROR(__xludf.DUMMYFUNCTION("""COMPUTED_VALUE"""),"029/SE/LPH/I/2026")</f>
        <v>029/SE/LPH/I/2026</v>
      </c>
      <c r="B44" s="6" t="str">
        <f>IFERROR(__xludf.DUMMYFUNCTION("""COMPUTED_VALUE"""),"SURAT TUGAS AUDIT ")</f>
        <v>SURAT TUGAS AUDIT </v>
      </c>
      <c r="C44" s="4"/>
      <c r="D44" s="6">
        <f>IFERROR(__xludf.DUMMYFUNCTION("""COMPUTED_VALUE"""),42.0)</f>
        <v>42</v>
      </c>
      <c r="E44" s="6" t="str">
        <f>IFERROR(__xludf.DUMMYFUNCTION("""COMPUTED_VALUE"""),"SH2026-1-1807913")</f>
        <v>SH2026-1-1807913</v>
      </c>
      <c r="F44" s="6" t="str">
        <f>IFERROR(__xludf.DUMMYFUNCTION("""COMPUTED_VALUE"""),"PT. Inocrea Indonesia")</f>
        <v>PT. Inocrea Indonesia</v>
      </c>
      <c r="G44" s="6" t="str">
        <f>IFERROR(__xludf.DUMMYFUNCTION("""COMPUTED_VALUE"""),"Jasa pendistribusian")</f>
        <v>Jasa pendistribusian</v>
      </c>
      <c r="H44" s="6" t="str">
        <f>IFERROR(__xludf.DUMMYFUNCTION("""COMPUTED_VALUE"""),"Jum'at, 13 Maret 2026")</f>
        <v>Jum'at, 13 Maret 2026</v>
      </c>
      <c r="I44" s="6" t="str">
        <f>IFERROR(__xludf.DUMMYFUNCTION("""COMPUTED_VALUE"""),"077")</f>
        <v>077</v>
      </c>
      <c r="J44" s="6" t="str">
        <f>IFERROR(__xludf.DUMMYFUNCTION("""COMPUTED_VALUE"""),"076")</f>
        <v>076</v>
      </c>
      <c r="K44" s="7" t="str">
        <f>IFERROR(__xludf.DUMMYFUNCTION("""COMPUTED_VALUE"""),"https://drive.google.com/file/d/1JeNKkEXwSPr8VmxPkNiaSjrBV3---V7b/view?usp=drivesdk")</f>
        <v>https://drive.google.com/file/d/1JeNKkEXwSPr8VmxPkNiaSjrBV3---V7b/view?usp=drivesdk</v>
      </c>
      <c r="L44" s="7" t="str">
        <f>IFERROR(__xludf.DUMMYFUNCTION("""COMPUTED_VALUE"""),"https://drive.google.com/file/d/137sLOKNB-ex_RxXr6jln-RboSSKAouDK/view?usp=drivesdk")</f>
        <v>https://drive.google.com/file/d/137sLOKNB-ex_RxXr6jln-RboSSKAouDK/view?usp=drivesdk</v>
      </c>
      <c r="M44" s="7" t="str">
        <f>IFERROR(__xludf.DUMMYFUNCTION("""COMPUTED_VALUE"""),"https://drive.google.com/file/d/1p74Qu0LOd8AE3lvZnlZiQNAgHKV9HL6r/view?usp=drivesdk")</f>
        <v>https://drive.google.com/file/d/1p74Qu0LOd8AE3lvZnlZiQNAgHKV9HL6r/view?usp=drivesdk</v>
      </c>
    </row>
    <row r="45">
      <c r="A45" s="6" t="str">
        <f>IFERROR(__xludf.DUMMYFUNCTION("""COMPUTED_VALUE"""),"030/SPK-UINJKT-PU/I/2026")</f>
        <v>030/SPK-UINJKT-PU/I/2026</v>
      </c>
      <c r="B45" s="6" t="str">
        <f>IFERROR(__xludf.DUMMYFUNCTION("""COMPUTED_VALUE"""),"SURAT PERJANJIAN KERJASAMA PEMERIKSAAN LPH DENGAN PU")</f>
        <v>SURAT PERJANJIAN KERJASAMA PEMERIKSAAN LPH DENGAN PU</v>
      </c>
      <c r="C45" s="4"/>
      <c r="D45" s="6">
        <f>IFERROR(__xludf.DUMMYFUNCTION("""COMPUTED_VALUE"""),43.0)</f>
        <v>43</v>
      </c>
      <c r="E45" s="6" t="str">
        <f>IFERROR(__xludf.DUMMYFUNCTION("""COMPUTED_VALUE"""),"SH2026-1-1807703")</f>
        <v>SH2026-1-1807703</v>
      </c>
      <c r="F45" s="6" t="str">
        <f>IFERROR(__xludf.DUMMYFUNCTION("""COMPUTED_VALUE"""),"PT. Inocrea Indonesia")</f>
        <v>PT. Inocrea Indonesia</v>
      </c>
      <c r="G45" s="6" t="str">
        <f>IFERROR(__xludf.DUMMYFUNCTION("""COMPUTED_VALUE"""),"Jasa Penyimpanan")</f>
        <v>Jasa Penyimpanan</v>
      </c>
      <c r="H45" s="6" t="str">
        <f>IFERROR(__xludf.DUMMYFUNCTION("""COMPUTED_VALUE"""),"Jum'at, 13 Maret 2026")</f>
        <v>Jum'at, 13 Maret 2026</v>
      </c>
      <c r="I45" s="6" t="str">
        <f>IFERROR(__xludf.DUMMYFUNCTION("""COMPUTED_VALUE"""),"079")</f>
        <v>079</v>
      </c>
      <c r="J45" s="6" t="str">
        <f>IFERROR(__xludf.DUMMYFUNCTION("""COMPUTED_VALUE"""),"076")</f>
        <v>076</v>
      </c>
      <c r="K45" s="7" t="str">
        <f>IFERROR(__xludf.DUMMYFUNCTION("""COMPUTED_VALUE"""),"https://drive.google.com/file/d/1mtZThnwb1xCGjx4LmFXyeMedJBXRqP7A/view?usp=drivesdk")</f>
        <v>https://drive.google.com/file/d/1mtZThnwb1xCGjx4LmFXyeMedJBXRqP7A/view?usp=drivesdk</v>
      </c>
      <c r="L45" s="7" t="str">
        <f>IFERROR(__xludf.DUMMYFUNCTION("""COMPUTED_VALUE"""),"https://drive.google.com/file/d/137sLOKNB-ex_RxXr6jln-RboSSKAouDK/view?usp=drivesdk")</f>
        <v>https://drive.google.com/file/d/137sLOKNB-ex_RxXr6jln-RboSSKAouDK/view?usp=drivesdk</v>
      </c>
      <c r="M45" s="7" t="str">
        <f>IFERROR(__xludf.DUMMYFUNCTION("""COMPUTED_VALUE"""),"https://drive.google.com/file/d/1p74Qu0LOd8AE3lvZnlZiQNAgHKV9HL6r/view?usp=drivesdk")</f>
        <v>https://drive.google.com/file/d/1p74Qu0LOd8AE3lvZnlZiQNAgHKV9HL6r/view?usp=drivesdk</v>
      </c>
    </row>
    <row r="46">
      <c r="A46" s="6" t="str">
        <f>IFERROR(__xludf.DUMMYFUNCTION("""COMPUTED_VALUE"""),"031/SE/LPH/I/2026")</f>
        <v>031/SE/LPH/I/2026</v>
      </c>
      <c r="B46" s="6" t="str">
        <f>IFERROR(__xludf.DUMMYFUNCTION("""COMPUTED_VALUE"""),"SURAT TUGAS AUDIT ")</f>
        <v>SURAT TUGAS AUDIT </v>
      </c>
      <c r="C46" s="4"/>
      <c r="D46" s="6">
        <f>IFERROR(__xludf.DUMMYFUNCTION("""COMPUTED_VALUE"""),44.0)</f>
        <v>44</v>
      </c>
      <c r="E46" s="6" t="str">
        <f>IFERROR(__xludf.DUMMYFUNCTION("""COMPUTED_VALUE"""),"SH2025-1-1292339")</f>
        <v>SH2025-1-1292339</v>
      </c>
      <c r="F46" s="6" t="str">
        <f>IFERROR(__xludf.DUMMYFUNCTION("""COMPUTED_VALUE"""),"NASI GORENG PADANG  BUNDO KANDUANG")</f>
        <v>NASI GORENG PADANG  BUNDO KANDUANG</v>
      </c>
      <c r="G46" s="6" t="str">
        <f>IFERROR(__xludf.DUMMYFUNCTION("""COMPUTED_VALUE"""),"Penyediaan makanan dan minuman dengan pengolahan")</f>
        <v>Penyediaan makanan dan minuman dengan pengolahan</v>
      </c>
      <c r="H46" s="6" t="str">
        <f>IFERROR(__xludf.DUMMYFUNCTION("""COMPUTED_VALUE"""),"Kamis, 16 April 2026")</f>
        <v>Kamis, 16 April 2026</v>
      </c>
      <c r="I46" s="6" t="str">
        <f>IFERROR(__xludf.DUMMYFUNCTION("""COMPUTED_VALUE"""),"093")</f>
        <v>093</v>
      </c>
      <c r="J46" s="6" t="str">
        <f>IFERROR(__xludf.DUMMYFUNCTION("""COMPUTED_VALUE"""),"-")</f>
        <v>-</v>
      </c>
      <c r="K46" s="7" t="str">
        <f>IFERROR(__xludf.DUMMYFUNCTION("""COMPUTED_VALUE"""),"https://drive.google.com/file/d/12-mkhELBm4eXASWh2N32zNH2EH6p4-br/view?usp=drivesdk")</f>
        <v>https://drive.google.com/file/d/12-mkhELBm4eXASWh2N32zNH2EH6p4-br/view?usp=drivesdk</v>
      </c>
      <c r="L46" s="6" t="str">
        <f>IFERROR(__xludf.DUMMYFUNCTION("""COMPUTED_VALUE"""),"-")</f>
        <v>-</v>
      </c>
      <c r="M46" s="7" t="str">
        <f>IFERROR(__xludf.DUMMYFUNCTION("""COMPUTED_VALUE"""),"https://drive.google.com/file/d/1il9aeZ1fp8h2dbq9aqKpXTQEc7YKB6WA/view?usp=drivesdk")</f>
        <v>https://drive.google.com/file/d/1il9aeZ1fp8h2dbq9aqKpXTQEc7YKB6WA/view?usp=drivesdk</v>
      </c>
    </row>
    <row r="47">
      <c r="A47" s="6" t="str">
        <f>IFERROR(__xludf.DUMMYFUNCTION("""COMPUTED_VALUE"""),"032/SPK-UINJKT-PU/I/2026")</f>
        <v>032/SPK-UINJKT-PU/I/2026</v>
      </c>
      <c r="B47" s="6" t="str">
        <f>IFERROR(__xludf.DUMMYFUNCTION("""COMPUTED_VALUE"""),"SURAT PERJANJIAN KERJASAMA PEMERIKSAAN LPH DENGAN PU")</f>
        <v>SURAT PERJANJIAN KERJASAMA PEMERIKSAAN LPH DENGAN PU</v>
      </c>
      <c r="C47" s="4"/>
      <c r="D47" s="6">
        <f>IFERROR(__xludf.DUMMYFUNCTION("""COMPUTED_VALUE"""),45.0)</f>
        <v>45</v>
      </c>
      <c r="E47" s="6" t="str">
        <f>IFERROR(__xludf.DUMMYFUNCTION("""COMPUTED_VALUE"""),"SH2025-1-1292339")</f>
        <v>SH2025-1-1292339</v>
      </c>
      <c r="F47" s="6" t="str">
        <f>IFERROR(__xludf.DUMMYFUNCTION("""COMPUTED_VALUE"""),"MINUMAN RINGAN KOMBUCHA")</f>
        <v>MINUMAN RINGAN KOMBUCHA</v>
      </c>
      <c r="G47" s="6" t="str">
        <f>IFERROR(__xludf.DUMMYFUNCTION("""COMPUTED_VALUE"""),"Minuman dengan Pengolahan")</f>
        <v>Minuman dengan Pengolahan</v>
      </c>
      <c r="H47" s="6" t="str">
        <f>IFERROR(__xludf.DUMMYFUNCTION("""COMPUTED_VALUE"""),"Kamis, 16 April 2026")</f>
        <v>Kamis, 16 April 2026</v>
      </c>
      <c r="I47" s="6" t="str">
        <f>IFERROR(__xludf.DUMMYFUNCTION("""COMPUTED_VALUE"""),"095")</f>
        <v>095</v>
      </c>
      <c r="J47" s="6" t="str">
        <f>IFERROR(__xludf.DUMMYFUNCTION("""COMPUTED_VALUE"""),"094")</f>
        <v>094</v>
      </c>
      <c r="K47" s="7" t="str">
        <f>IFERROR(__xludf.DUMMYFUNCTION("""COMPUTED_VALUE"""),"https://drive.google.com/file/d/1iX1VgrLe_AYib39-hSkkFMaTmWT1OaRn/view?usp=drivesdk")</f>
        <v>https://drive.google.com/file/d/1iX1VgrLe_AYib39-hSkkFMaTmWT1OaRn/view?usp=drivesdk</v>
      </c>
      <c r="L47" s="7" t="str">
        <f>IFERROR(__xludf.DUMMYFUNCTION("""COMPUTED_VALUE"""),"https://drive.google.com/file/d/1AQxcoTDM7RNxauZqAkVF8KhgP3eNk_QB/view?usp=drivesdk")</f>
        <v>https://drive.google.com/file/d/1AQxcoTDM7RNxauZqAkVF8KhgP3eNk_QB/view?usp=drivesdk</v>
      </c>
      <c r="M47" s="7" t="str">
        <f>IFERROR(__xludf.DUMMYFUNCTION("""COMPUTED_VALUE"""),"https://drive.google.com/file/d/16d8nDarn3n9AZxpeghXWGJN9wYvgqgVV/view?usp=drivesdk")</f>
        <v>https://drive.google.com/file/d/16d8nDarn3n9AZxpeghXWGJN9wYvgqgVV/view?usp=drivesdk</v>
      </c>
    </row>
    <row r="48">
      <c r="A48" s="6" t="str">
        <f>IFERROR(__xludf.DUMMYFUNCTION("""COMPUTED_VALUE"""),"033/SE/LPH/I/2026")</f>
        <v>033/SE/LPH/I/2026</v>
      </c>
      <c r="B48" s="6" t="str">
        <f>IFERROR(__xludf.DUMMYFUNCTION("""COMPUTED_VALUE"""),"SURAT TUGAS AUDIT ")</f>
        <v>SURAT TUGAS AUDIT </v>
      </c>
      <c r="C48" s="4"/>
      <c r="D48" s="6">
        <f>IFERROR(__xludf.DUMMYFUNCTION("""COMPUTED_VALUE"""),46.0)</f>
        <v>46</v>
      </c>
      <c r="E48" s="6" t="str">
        <f>IFERROR(__xludf.DUMMYFUNCTION("""COMPUTED_VALUE"""),"SH2025-1-1292339")</f>
        <v>SH2025-1-1292339</v>
      </c>
      <c r="F48" s="6" t="str">
        <f>IFERROR(__xludf.DUMMYFUNCTION("""COMPUTED_VALUE"""),"ANJUMUZ ZUHRIYAH")</f>
        <v>ANJUMUZ ZUHRIYAH</v>
      </c>
      <c r="G48" s="6" t="str">
        <f>IFERROR(__xludf.DUMMYFUNCTION("""COMPUTED_VALUE"""),"Penyediaan makanan dan minuman dengan pengolahan")</f>
        <v>Penyediaan makanan dan minuman dengan pengolahan</v>
      </c>
      <c r="H48" s="6" t="str">
        <f>IFERROR(__xludf.DUMMYFUNCTION("""COMPUTED_VALUE"""),"Kamis, 16 April 2026")</f>
        <v>Kamis, 16 April 2026</v>
      </c>
      <c r="I48" s="6" t="str">
        <f>IFERROR(__xludf.DUMMYFUNCTION("""COMPUTED_VALUE"""),"091")</f>
        <v>091</v>
      </c>
      <c r="J48" s="6" t="str">
        <f>IFERROR(__xludf.DUMMYFUNCTION("""COMPUTED_VALUE"""),"-")</f>
        <v>-</v>
      </c>
      <c r="K48" s="7" t="str">
        <f>IFERROR(__xludf.DUMMYFUNCTION("""COMPUTED_VALUE"""),"https://drive.google.com/file/d/1UV4xpDqsyQLuTyZNLaXjDVn80nhUlKwB/view?usp=drivesdk")</f>
        <v>https://drive.google.com/file/d/1UV4xpDqsyQLuTyZNLaXjDVn80nhUlKwB/view?usp=drivesdk</v>
      </c>
      <c r="L48" s="6" t="str">
        <f>IFERROR(__xludf.DUMMYFUNCTION("""COMPUTED_VALUE"""),"-")</f>
        <v>-</v>
      </c>
      <c r="M48" s="6" t="str">
        <f>IFERROR(__xludf.DUMMYFUNCTION("""COMPUTED_VALUE"""),"-")</f>
        <v>-</v>
      </c>
    </row>
    <row r="49">
      <c r="A49" s="6" t="str">
        <f>IFERROR(__xludf.DUMMYFUNCTION("""COMPUTED_VALUE"""),"034/SPK-UINJKT-PU/I/2026")</f>
        <v>034/SPK-UINJKT-PU/I/2026</v>
      </c>
      <c r="B49" s="6" t="str">
        <f>IFERROR(__xludf.DUMMYFUNCTION("""COMPUTED_VALUE"""),"SURAT PERJANJIAN KERJASAMA PEMERIKSAAN LPH DENGAN PU")</f>
        <v>SURAT PERJANJIAN KERJASAMA PEMERIKSAAN LPH DENGAN PU</v>
      </c>
      <c r="C49" s="4"/>
      <c r="D49" s="6">
        <f>IFERROR(__xludf.DUMMYFUNCTION("""COMPUTED_VALUE"""),47.0)</f>
        <v>47</v>
      </c>
      <c r="E49" s="6" t="str">
        <f>IFERROR(__xludf.DUMMYFUNCTION("""COMPUTED_VALUE"""),"SH2026-1-2043499")</f>
        <v>SH2026-1-2043499</v>
      </c>
      <c r="F49" s="6" t="str">
        <f>IFERROR(__xludf.DUMMYFUNCTION("""COMPUTED_VALUE"""),"PAON-KOE")</f>
        <v>PAON-KOE</v>
      </c>
      <c r="G49" s="6" t="str">
        <f>IFERROR(__xludf.DUMMYFUNCTION("""COMPUTED_VALUE"""),"Penyediaan makanan dan minuman dengan pengolahan")</f>
        <v>Penyediaan makanan dan minuman dengan pengolahan</v>
      </c>
      <c r="H49" s="6" t="str">
        <f>IFERROR(__xludf.DUMMYFUNCTION("""COMPUTED_VALUE"""),"Kamis, 16 April 2026")</f>
        <v>Kamis, 16 April 2026</v>
      </c>
      <c r="I49" s="6" t="str">
        <f>IFERROR(__xludf.DUMMYFUNCTION("""COMPUTED_VALUE"""),"098")</f>
        <v>098</v>
      </c>
      <c r="J49" s="6" t="str">
        <f>IFERROR(__xludf.DUMMYFUNCTION("""COMPUTED_VALUE"""),"100")</f>
        <v>100</v>
      </c>
      <c r="K49" s="7" t="str">
        <f>IFERROR(__xludf.DUMMYFUNCTION("""COMPUTED_VALUE"""),"https://drive.google.com/file/d/1xPa7EC47KKbp_a7TNYNh91n_ujrkWeeW/view?usp=drivesdk")</f>
        <v>https://drive.google.com/file/d/1xPa7EC47KKbp_a7TNYNh91n_ujrkWeeW/view?usp=drivesdk</v>
      </c>
      <c r="L49" s="7" t="str">
        <f>IFERROR(__xludf.DUMMYFUNCTION("""COMPUTED_VALUE"""),"https://drive.google.com/file/d/1fi-O46f-evjBqfO297BfBa2aluoSipec/view?usp=drivesdk")</f>
        <v>https://drive.google.com/file/d/1fi-O46f-evjBqfO297BfBa2aluoSipec/view?usp=drivesdk</v>
      </c>
      <c r="M49" s="7" t="str">
        <f>IFERROR(__xludf.DUMMYFUNCTION("""COMPUTED_VALUE"""),"https://drive.google.com/file/d/1p23nSB1cRaO_vYfqryCPJJo2ZDgt5P-a/view?usp=drivesdk")</f>
        <v>https://drive.google.com/file/d/1p23nSB1cRaO_vYfqryCPJJo2ZDgt5P-a/view?usp=drivesdk</v>
      </c>
    </row>
    <row r="50">
      <c r="A50" s="6" t="str">
        <f>IFERROR(__xludf.DUMMYFUNCTION("""COMPUTED_VALUE"""),"035/SE/LPH/I/2026")</f>
        <v>035/SE/LPH/I/2026</v>
      </c>
      <c r="B50" s="6" t="str">
        <f>IFERROR(__xludf.DUMMYFUNCTION("""COMPUTED_VALUE"""),"SURAT TUGAS AUDIT ")</f>
        <v>SURAT TUGAS AUDIT </v>
      </c>
      <c r="C50" s="4"/>
      <c r="D50" s="6">
        <f>IFERROR(__xludf.DUMMYFUNCTION("""COMPUTED_VALUE"""),48.0)</f>
        <v>48</v>
      </c>
      <c r="E50" s="6" t="str">
        <f>IFERROR(__xludf.DUMMYFUNCTION("""COMPUTED_VALUE"""),"SH2026-1-1860101")</f>
        <v>SH2026-1-1860101</v>
      </c>
      <c r="F50" s="6" t="str">
        <f>IFERROR(__xludf.DUMMYFUNCTION("""COMPUTED_VALUE"""),"Bakemood Bakehouse")</f>
        <v>Bakemood Bakehouse</v>
      </c>
      <c r="G50" s="6" t="str">
        <f>IFERROR(__xludf.DUMMYFUNCTION("""COMPUTED_VALUE"""),"Penyediaan makanan dan minuman dengan pengolahan")</f>
        <v>Penyediaan makanan dan minuman dengan pengolahan</v>
      </c>
      <c r="H50" s="6" t="str">
        <f>IFERROR(__xludf.DUMMYFUNCTION("""COMPUTED_VALUE"""),"Kamis, 16 April 2026")</f>
        <v>Kamis, 16 April 2026</v>
      </c>
      <c r="I50" s="6" t="str">
        <f>IFERROR(__xludf.DUMMYFUNCTION("""COMPUTED_VALUE"""),"099")</f>
        <v>099</v>
      </c>
      <c r="J50" s="6" t="str">
        <f>IFERROR(__xludf.DUMMYFUNCTION("""COMPUTED_VALUE"""),"101")</f>
        <v>101</v>
      </c>
      <c r="K50" s="7" t="str">
        <f>IFERROR(__xludf.DUMMYFUNCTION("""COMPUTED_VALUE"""),"https://drive.google.com/file/d/1_ma1Pg4lO9GZ218bIHr0h4G_IfnbDZ3D/view?usp=drivesdk")</f>
        <v>https://drive.google.com/file/d/1_ma1Pg4lO9GZ218bIHr0h4G_IfnbDZ3D/view?usp=drivesdk</v>
      </c>
      <c r="L50" s="7" t="str">
        <f>IFERROR(__xludf.DUMMYFUNCTION("""COMPUTED_VALUE"""),"https://drive.google.com/file/d/1i0eqD7NSGOJ13NC7ILPHhJnjXT_hvmI0/view?usp=drivesdk")</f>
        <v>https://drive.google.com/file/d/1i0eqD7NSGOJ13NC7ILPHhJnjXT_hvmI0/view?usp=drivesdk</v>
      </c>
      <c r="M50" s="7" t="str">
        <f>IFERROR(__xludf.DUMMYFUNCTION("""COMPUTED_VALUE"""),"https://drive.google.com/file/d/1oxdRT4WF0-ovYEmqYZYJkDsPHu_9zf0v/view?usp=drivesdk")</f>
        <v>https://drive.google.com/file/d/1oxdRT4WF0-ovYEmqYZYJkDsPHu_9zf0v/view?usp=drivesdk</v>
      </c>
    </row>
    <row r="51">
      <c r="A51" s="6" t="str">
        <f>IFERROR(__xludf.DUMMYFUNCTION("""COMPUTED_VALUE"""),"036/SPK-UINJKT-PU/I/2026")</f>
        <v>036/SPK-UINJKT-PU/I/2026</v>
      </c>
      <c r="B51" s="6" t="str">
        <f>IFERROR(__xludf.DUMMYFUNCTION("""COMPUTED_VALUE"""),"SURAT PERJANJIAN KERJASAMA PEMERIKSAAN LPH DENGAN PU")</f>
        <v>SURAT PERJANJIAN KERJASAMA PEMERIKSAAN LPH DENGAN PU</v>
      </c>
      <c r="C51" s="4"/>
      <c r="D51" s="6">
        <f>IFERROR(__xludf.DUMMYFUNCTION("""COMPUTED_VALUE"""),49.0)</f>
        <v>49</v>
      </c>
      <c r="E51" s="6" t="str">
        <f>IFERROR(__xludf.DUMMYFUNCTION("""COMPUTED_VALUE"""),"SH2026-1-1816256")</f>
        <v>SH2026-1-1816256</v>
      </c>
      <c r="F51" s="6" t="str">
        <f>IFERROR(__xludf.DUMMYFUNCTION("""COMPUTED_VALUE"""),"Yayasan Sinergi Langkah Kemakmuran")</f>
        <v>Yayasan Sinergi Langkah Kemakmuran</v>
      </c>
      <c r="G51" s="6" t="str">
        <f>IFERROR(__xludf.DUMMYFUNCTION("""COMPUTED_VALUE"""),"Penyediaan makanan dan minuman dengan pengolahan")</f>
        <v>Penyediaan makanan dan minuman dengan pengolahan</v>
      </c>
      <c r="H51" s="6" t="str">
        <f>IFERROR(__xludf.DUMMYFUNCTION("""COMPUTED_VALUE"""),"Jum'at, 17 April 2026")</f>
        <v>Jum'at, 17 April 2026</v>
      </c>
      <c r="I51" s="6" t="str">
        <f>IFERROR(__xludf.DUMMYFUNCTION("""COMPUTED_VALUE"""),"102")</f>
        <v>102</v>
      </c>
      <c r="J51" s="6" t="str">
        <f>IFERROR(__xludf.DUMMYFUNCTION("""COMPUTED_VALUE"""),"104")</f>
        <v>104</v>
      </c>
      <c r="K51" s="7" t="str">
        <f>IFERROR(__xludf.DUMMYFUNCTION("""COMPUTED_VALUE"""),"https://drive.google.com/file/d/1dtrcsbUdkm-ISmiBOTAnLPPvridriERZ/view?usp=drivesdk")</f>
        <v>https://drive.google.com/file/d/1dtrcsbUdkm-ISmiBOTAnLPPvridriERZ/view?usp=drivesdk</v>
      </c>
      <c r="L51" s="7" t="str">
        <f>IFERROR(__xludf.DUMMYFUNCTION("""COMPUTED_VALUE"""),"https://drive.google.com/file/d/1sELlbEILeNgxmSU9xyHGkzRrIjckLiqz/view?usp=drivesdk")</f>
        <v>https://drive.google.com/file/d/1sELlbEILeNgxmSU9xyHGkzRrIjckLiqz/view?usp=drivesdk</v>
      </c>
      <c r="M51" s="7" t="str">
        <f>IFERROR(__xludf.DUMMYFUNCTION("""COMPUTED_VALUE"""),"https://drive.google.com/file/d/1aUb4b7TOQL0NIO3IYHs204MWccA0oabH/view?usp=drivesdk")</f>
        <v>https://drive.google.com/file/d/1aUb4b7TOQL0NIO3IYHs204MWccA0oabH/view?usp=drivesdk</v>
      </c>
    </row>
    <row r="52">
      <c r="A52" s="6" t="str">
        <f>IFERROR(__xludf.DUMMYFUNCTION("""COMPUTED_VALUE"""),"037/SE/LPH/I/2026")</f>
        <v>037/SE/LPH/I/2026</v>
      </c>
      <c r="B52" s="6" t="str">
        <f>IFERROR(__xludf.DUMMYFUNCTION("""COMPUTED_VALUE"""),"SURAT TUGAS AUDIT ")</f>
        <v>SURAT TUGAS AUDIT </v>
      </c>
      <c r="C52" s="4"/>
      <c r="D52" s="6">
        <f>IFERROR(__xludf.DUMMYFUNCTION("""COMPUTED_VALUE"""),50.0)</f>
        <v>50</v>
      </c>
      <c r="E52" s="6" t="str">
        <f>IFERROR(__xludf.DUMMYFUNCTION("""COMPUTED_VALUE"""),"SH2026-1-1987835")</f>
        <v>SH2026-1-1987835</v>
      </c>
      <c r="F52" s="6" t="str">
        <f>IFERROR(__xludf.DUMMYFUNCTION("""COMPUTED_VALUE"""),"Tanti Sopiah")</f>
        <v>Tanti Sopiah</v>
      </c>
      <c r="G52" s="6" t="str">
        <f>IFERROR(__xludf.DUMMYFUNCTION("""COMPUTED_VALUE"""),"Daging dan Produk Olahan Daging dan Aneka Makanan")</f>
        <v>Daging dan Produk Olahan Daging dan Aneka Makanan</v>
      </c>
      <c r="H52" s="6" t="str">
        <f>IFERROR(__xludf.DUMMYFUNCTION("""COMPUTED_VALUE"""),"Jum'at, 17 April 2026")</f>
        <v>Jum'at, 17 April 2026</v>
      </c>
      <c r="I52" s="6" t="str">
        <f>IFERROR(__xludf.DUMMYFUNCTION("""COMPUTED_VALUE"""),"103")</f>
        <v>103</v>
      </c>
      <c r="J52" s="6" t="str">
        <f>IFERROR(__xludf.DUMMYFUNCTION("""COMPUTED_VALUE"""),"105")</f>
        <v>105</v>
      </c>
      <c r="K52" s="7" t="str">
        <f>IFERROR(__xludf.DUMMYFUNCTION("""COMPUTED_VALUE"""),"https://drive.google.com/file/d/1QEGVL8Y9eLRkalEDR9mLMU2or-8gLqIm/view?usp=drivesdk")</f>
        <v>https://drive.google.com/file/d/1QEGVL8Y9eLRkalEDR9mLMU2or-8gLqIm/view?usp=drivesdk</v>
      </c>
      <c r="L52" s="7" t="str">
        <f>IFERROR(__xludf.DUMMYFUNCTION("""COMPUTED_VALUE"""),"https://drive.google.com/file/d/1z_pmC7x76p6AkIXibyCNKM6L45P_0kCu/view?usp=drivesdk")</f>
        <v>https://drive.google.com/file/d/1z_pmC7x76p6AkIXibyCNKM6L45P_0kCu/view?usp=drivesdk</v>
      </c>
      <c r="M52" s="7" t="str">
        <f>IFERROR(__xludf.DUMMYFUNCTION("""COMPUTED_VALUE"""),"https://drive.google.com/file/d/1ZTZ0PFTGjT-lHE2ZeVOzyQLC9YrapAeM/view?usp=drivesdk")</f>
        <v>https://drive.google.com/file/d/1ZTZ0PFTGjT-lHE2ZeVOzyQLC9YrapAeM/view?usp=drivesdk</v>
      </c>
    </row>
    <row r="53">
      <c r="A53" s="6" t="str">
        <f>IFERROR(__xludf.DUMMYFUNCTION("""COMPUTED_VALUE"""),"038/SPK-UINJKT-PU/I/2026")</f>
        <v>038/SPK-UINJKT-PU/I/2026</v>
      </c>
      <c r="B53" s="6" t="str">
        <f>IFERROR(__xludf.DUMMYFUNCTION("""COMPUTED_VALUE"""),"SURAT PERJANJIAN KERJASAMA PEMERIKSAAN LPH DENGAN PU")</f>
        <v>SURAT PERJANJIAN KERJASAMA PEMERIKSAAN LPH DENGAN PU</v>
      </c>
      <c r="C53" s="4"/>
      <c r="D53" s="6">
        <f>IFERROR(__xludf.DUMMYFUNCTION("""COMPUTED_VALUE"""),51.0)</f>
        <v>51</v>
      </c>
      <c r="E53" s="6"/>
      <c r="F53" s="6" t="str">
        <f>IFERROR(__xludf.DUMMYFUNCTION("""COMPUTED_VALUE"""),"Rizky Kurniaty Husni Dimsum Won")</f>
        <v>Rizky Kurniaty Husni Dimsum Won</v>
      </c>
      <c r="G53" s="6" t="str">
        <f>IFERROR(__xludf.DUMMYFUNCTION("""COMPUTED_VALUE"""),"Olahan Daging/Hasil Perikanan")</f>
        <v>Olahan Daging/Hasil Perikanan</v>
      </c>
      <c r="H53" s="6" t="str">
        <f>IFERROR(__xludf.DUMMYFUNCTION("""COMPUTED_VALUE"""),"Jum'at, 17 April 2026")</f>
        <v>Jum'at, 17 April 2026</v>
      </c>
      <c r="I53" s="6" t="str">
        <f>IFERROR(__xludf.DUMMYFUNCTION("""COMPUTED_VALUE"""),"106")</f>
        <v>106</v>
      </c>
      <c r="J53" s="6" t="str">
        <f>IFERROR(__xludf.DUMMYFUNCTION("""COMPUTED_VALUE"""),"-")</f>
        <v>-</v>
      </c>
      <c r="K53" s="7" t="str">
        <f>IFERROR(__xludf.DUMMYFUNCTION("""COMPUTED_VALUE"""),"https://drive.google.com/file/d/17lNbHnevJvbNOQg9ypabWghSsrAXltNK/view?usp=drivesdk")</f>
        <v>https://drive.google.com/file/d/17lNbHnevJvbNOQg9ypabWghSsrAXltNK/view?usp=drivesdk</v>
      </c>
      <c r="L53" s="6" t="str">
        <f>IFERROR(__xludf.DUMMYFUNCTION("""COMPUTED_VALUE"""),"-")</f>
        <v>-</v>
      </c>
      <c r="M53" s="6" t="str">
        <f>IFERROR(__xludf.DUMMYFUNCTION("""COMPUTED_VALUE"""),"-")</f>
        <v>-</v>
      </c>
    </row>
    <row r="54">
      <c r="A54" s="6" t="str">
        <f>IFERROR(__xludf.DUMMYFUNCTION("""COMPUTED_VALUE"""),"SPH-039/LPH-UINJKT/I/2026")</f>
        <v>SPH-039/LPH-UINJKT/I/2026</v>
      </c>
      <c r="B54" s="6" t="str">
        <f>IFERROR(__xludf.DUMMYFUNCTION("""COMPUTED_VALUE"""),"SURAT PENAWARAN HARGA (QUOTATION)")</f>
        <v>SURAT PENAWARAN HARGA (QUOTATION)</v>
      </c>
      <c r="C54" s="4"/>
      <c r="D54" s="6">
        <f>IFERROR(__xludf.DUMMYFUNCTION("""COMPUTED_VALUE"""),52.0)</f>
        <v>52</v>
      </c>
      <c r="E54" s="6" t="str">
        <f>IFERROR(__xludf.DUMMYFUNCTION("""COMPUTED_VALUE"""),"SH2026-1-1978766")</f>
        <v>SH2026-1-1978766</v>
      </c>
      <c r="F54" s="6" t="str">
        <f>IFERROR(__xludf.DUMMYFUNCTION("""COMPUTED_VALUE"""),"MARINO PEDULI INDONESIA")</f>
        <v>MARINO PEDULI INDONESIA</v>
      </c>
      <c r="G54" s="6" t="str">
        <f>IFERROR(__xludf.DUMMYFUNCTION("""COMPUTED_VALUE"""),"Penyediaan makanan dan minuman dengan pengolahan")</f>
        <v>Penyediaan makanan dan minuman dengan pengolahan</v>
      </c>
      <c r="H54" s="6" t="str">
        <f>IFERROR(__xludf.DUMMYFUNCTION("""COMPUTED_VALUE"""),"Kamis, 23 April 2026")</f>
        <v>Kamis, 23 April 2026</v>
      </c>
      <c r="I54" s="6" t="str">
        <f>IFERROR(__xludf.DUMMYFUNCTION("""COMPUTED_VALUE"""),"121")</f>
        <v>121</v>
      </c>
      <c r="J54" s="6" t="str">
        <f>IFERROR(__xludf.DUMMYFUNCTION("""COMPUTED_VALUE"""),"120")</f>
        <v>120</v>
      </c>
      <c r="K54" s="7" t="str">
        <f>IFERROR(__xludf.DUMMYFUNCTION("""COMPUTED_VALUE"""),"https://drive.google.com/file/d/10Fg7efGfItOkV142fsz84su1m7--vMXG/view?usp=drivesdk")</f>
        <v>https://drive.google.com/file/d/10Fg7efGfItOkV142fsz84su1m7--vMXG/view?usp=drivesdk</v>
      </c>
      <c r="L54" s="7" t="str">
        <f>IFERROR(__xludf.DUMMYFUNCTION("""COMPUTED_VALUE"""),"https://drive.google.com/file/d/1xo-UQTKNApWwae4yccHaRN0h9_JdwPNi/view?usp=drivesdk")</f>
        <v>https://drive.google.com/file/d/1xo-UQTKNApWwae4yccHaRN0h9_JdwPNi/view?usp=drivesdk</v>
      </c>
      <c r="M54" s="7" t="str">
        <f>IFERROR(__xludf.DUMMYFUNCTION("""COMPUTED_VALUE"""),"https://drive.google.com/file/d/1ktqzvlQHLdev0jUYNOG-wmTXK9CixonE/view?usp=drivesdk")</f>
        <v>https://drive.google.com/file/d/1ktqzvlQHLdev0jUYNOG-wmTXK9CixonE/view?usp=drivesdk</v>
      </c>
    </row>
    <row r="55">
      <c r="A55" s="6" t="str">
        <f>IFERROR(__xludf.DUMMYFUNCTION("""COMPUTED_VALUE"""),"040/SE/LPH/II/2025")</f>
        <v>040/SE/LPH/II/2025</v>
      </c>
      <c r="B55" s="6" t="str">
        <f>IFERROR(__xludf.DUMMYFUNCTION("""COMPUTED_VALUE"""),"SURAT TUGAS SINERGITAS, KONSOLIDASI dan KOLORASI BPJPH &amp; KEMENAG ")</f>
        <v>SURAT TUGAS SINERGITAS, KONSOLIDASI dan KOLORASI BPJPH &amp; KEMENAG </v>
      </c>
      <c r="C55" s="4"/>
      <c r="D55" s="6">
        <f>IFERROR(__xludf.DUMMYFUNCTION("""COMPUTED_VALUE"""),53.0)</f>
        <v>53</v>
      </c>
      <c r="E55" s="6" t="str">
        <f>IFERROR(__xludf.DUMMYFUNCTION("""COMPUTED_VALUE"""),"SH2026-1-2077100")</f>
        <v>SH2026-1-2077100</v>
      </c>
      <c r="F55" s="6" t="str">
        <f>IFERROR(__xludf.DUMMYFUNCTION("""COMPUTED_VALUE"""),"SOLIHAT FITRIA")</f>
        <v>SOLIHAT FITRIA</v>
      </c>
      <c r="G55" s="6" t="str">
        <f>IFERROR(__xludf.DUMMYFUNCTION("""COMPUTED_VALUE"""),"Penyediaan makanan dan minuman dengan pengolahan")</f>
        <v>Penyediaan makanan dan minuman dengan pengolahan</v>
      </c>
      <c r="H55" s="6" t="str">
        <f>IFERROR(__xludf.DUMMYFUNCTION("""COMPUTED_VALUE"""),"Jum'at, 24 April 2026")</f>
        <v>Jum'at, 24 April 2026</v>
      </c>
      <c r="I55" s="6" t="str">
        <f>IFERROR(__xludf.DUMMYFUNCTION("""COMPUTED_VALUE"""),"123")</f>
        <v>123</v>
      </c>
      <c r="J55" s="6" t="str">
        <f>IFERROR(__xludf.DUMMYFUNCTION("""COMPUTED_VALUE"""),"122")</f>
        <v>122</v>
      </c>
      <c r="K55" s="7" t="str">
        <f>IFERROR(__xludf.DUMMYFUNCTION("""COMPUTED_VALUE"""),"https://drive.google.com/file/d/13Dcz5yOTVFzNIAJ3ewlN0mVmjtqYDHHi/view?usp=drivesdk")</f>
        <v>https://drive.google.com/file/d/13Dcz5yOTVFzNIAJ3ewlN0mVmjtqYDHHi/view?usp=drivesdk</v>
      </c>
      <c r="L55" s="7" t="str">
        <f>IFERROR(__xludf.DUMMYFUNCTION("""COMPUTED_VALUE"""),"https://drive.google.com/file/d/1iVTJTVgOYn4eC9LvOKhXDp654pKQmk1M/view?usp=drivesdk")</f>
        <v>https://drive.google.com/file/d/1iVTJTVgOYn4eC9LvOKhXDp654pKQmk1M/view?usp=drivesdk</v>
      </c>
      <c r="M55" s="7" t="str">
        <f>IFERROR(__xludf.DUMMYFUNCTION("""COMPUTED_VALUE"""),"https://drive.google.com/file/d/1t7Qo52fcBImPLT3KSSYbM1Posmrbw4JE/view?usp=drivesdk")</f>
        <v>https://drive.google.com/file/d/1t7Qo52fcBImPLT3KSSYbM1Posmrbw4JE/view?usp=drivesdk</v>
      </c>
    </row>
    <row r="56">
      <c r="A56" s="6" t="str">
        <f>IFERROR(__xludf.DUMMYFUNCTION("""COMPUTED_VALUE"""),"SPK-41/LPH-UINJKT/II/2026")</f>
        <v>SPK-41/LPH-UINJKT/II/2026</v>
      </c>
      <c r="B56" s="6" t="str">
        <f>IFERROR(__xludf.DUMMYFUNCTION("""COMPUTED_VALUE"""),"Surat Balasan Dukungan Kerja Sama LPH ")</f>
        <v>Surat Balasan Dukungan Kerja Sama LPH </v>
      </c>
      <c r="C56" s="4"/>
      <c r="D56" s="6">
        <f>IFERROR(__xludf.DUMMYFUNCTION("""COMPUTED_VALUE"""),54.0)</f>
        <v>54</v>
      </c>
      <c r="E56" s="6" t="str">
        <f>IFERROR(__xludf.DUMMYFUNCTION("""COMPUTED_VALUE"""),"SH2026-1-2209444")</f>
        <v>SH2026-1-2209444</v>
      </c>
      <c r="F56" s="6" t="str">
        <f>IFERROR(__xludf.DUMMYFUNCTION("""COMPUTED_VALUE"""),"HJ MARDIAH DAN HJ CHALIMAH")</f>
        <v>HJ MARDIAH DAN HJ CHALIMAH</v>
      </c>
      <c r="G56" s="6" t="str">
        <f>IFERROR(__xludf.DUMMYFUNCTION("""COMPUTED_VALUE"""),"Penyediaan makanan dan minuman dengan pengolahan")</f>
        <v>Penyediaan makanan dan minuman dengan pengolahan</v>
      </c>
      <c r="H56" s="6" t="str">
        <f>IFERROR(__xludf.DUMMYFUNCTION("""COMPUTED_VALUE"""),"Selasa, 5 Mei 2026")</f>
        <v>Selasa, 5 Mei 2026</v>
      </c>
      <c r="I56" s="6" t="str">
        <f>IFERROR(__xludf.DUMMYFUNCTION("""COMPUTED_VALUE"""),"136")</f>
        <v>136</v>
      </c>
      <c r="J56" s="6" t="str">
        <f>IFERROR(__xludf.DUMMYFUNCTION("""COMPUTED_VALUE"""),"008")</f>
        <v>008</v>
      </c>
      <c r="K56" s="7" t="str">
        <f>IFERROR(__xludf.DUMMYFUNCTION("""COMPUTED_VALUE"""),"https://drive.google.com/file/d/1u2VKVqzYs2vJECj78XqUE3aaQ7S9pdpt/view?usp=drivesdk")</f>
        <v>https://drive.google.com/file/d/1u2VKVqzYs2vJECj78XqUE3aaQ7S9pdpt/view?usp=drivesdk</v>
      </c>
      <c r="L56" s="7" t="str">
        <f>IFERROR(__xludf.DUMMYFUNCTION("""COMPUTED_VALUE"""),"https://drive.google.com/file/d/19ZnHJ9lerPnyc5mB7DTyuLt-FLN_QWVF/view?usp=drivesdk")</f>
        <v>https://drive.google.com/file/d/19ZnHJ9lerPnyc5mB7DTyuLt-FLN_QWVF/view?usp=drivesdk</v>
      </c>
      <c r="M56" s="7" t="str">
        <f>IFERROR(__xludf.DUMMYFUNCTION("""COMPUTED_VALUE"""),"https://drive.google.com/file/d/1oOnyGXeXoXKrNIuqHafEmSSaZKkRzgUS/view?usp=drivesdk")</f>
        <v>https://drive.google.com/file/d/1oOnyGXeXoXKrNIuqHafEmSSaZKkRzgUS/view?usp=drivesdk</v>
      </c>
    </row>
    <row r="57">
      <c r="A57" s="6" t="str">
        <f>IFERROR(__xludf.DUMMYFUNCTION("""COMPUTED_VALUE"""),"042/SE/LPH/II/2026")</f>
        <v>042/SE/LPH/II/2026</v>
      </c>
      <c r="B57" s="6" t="str">
        <f>IFERROR(__xludf.DUMMYFUNCTION("""COMPUTED_VALUE"""),"Surat Permohonan Pramu Bakti")</f>
        <v>Surat Permohonan Pramu Bakti</v>
      </c>
      <c r="C57" s="4"/>
      <c r="D57" s="6">
        <f>IFERROR(__xludf.DUMMYFUNCTION("""COMPUTED_VALUE"""),55.0)</f>
        <v>55</v>
      </c>
      <c r="E57" s="6" t="str">
        <f>IFERROR(__xludf.DUMMYFUNCTION("""COMPUTED_VALUE"""),"SH2026-1-2044794")</f>
        <v>SH2026-1-2044794</v>
      </c>
      <c r="F57" s="6" t="str">
        <f>IFERROR(__xludf.DUMMYFUNCTION("""COMPUTED_VALUE"""),"POLI CONTINDO NUSA")</f>
        <v>POLI CONTINDO NUSA</v>
      </c>
      <c r="G57" s="6" t="str">
        <f>IFERROR(__xludf.DUMMYFUNCTION("""COMPUTED_VALUE"""),"Kemasan produk")</f>
        <v>Kemasan produk</v>
      </c>
      <c r="H57" s="6" t="str">
        <f>IFERROR(__xludf.DUMMYFUNCTION("""COMPUTED_VALUE"""),"Jum'at, 08 Mei 2026")</f>
        <v>Jum'at, 08 Mei 2026</v>
      </c>
      <c r="I57" s="6" t="str">
        <f>IFERROR(__xludf.DUMMYFUNCTION("""COMPUTED_VALUE"""),"145")</f>
        <v>145</v>
      </c>
      <c r="J57" s="6">
        <f>IFERROR(__xludf.DUMMYFUNCTION("""COMPUTED_VALUE"""),146.0)</f>
        <v>146</v>
      </c>
      <c r="K57" s="7" t="str">
        <f>IFERROR(__xludf.DUMMYFUNCTION("""COMPUTED_VALUE"""),"https://drive.google.com/file/d/1BgSREWJswpl-QAcmZo8T1SJWEGrpQ1XS/view?usp=drivesdk")</f>
        <v>https://drive.google.com/file/d/1BgSREWJswpl-QAcmZo8T1SJWEGrpQ1XS/view?usp=drivesdk</v>
      </c>
      <c r="L57" s="7" t="str">
        <f>IFERROR(__xludf.DUMMYFUNCTION("""COMPUTED_VALUE"""),"https://drive.google.com/file/d/1FwB-aNee-Jk7cJkCrHiG5TW4R4-zYCQQ/view?usp=drivesdk")</f>
        <v>https://drive.google.com/file/d/1FwB-aNee-Jk7cJkCrHiG5TW4R4-zYCQQ/view?usp=drivesdk</v>
      </c>
      <c r="M57" s="7" t="str">
        <f>IFERROR(__xludf.DUMMYFUNCTION("""COMPUTED_VALUE"""),"https://drive.google.com/file/d/12VIXvd-geCcIgyyh2kUi4I6VEbTOIufc/view?usp=drivesdk")</f>
        <v>https://drive.google.com/file/d/12VIXvd-geCcIgyyh2kUi4I6VEbTOIufc/view?usp=drivesdk</v>
      </c>
    </row>
    <row r="58">
      <c r="A58" s="6" t="str">
        <f>IFERROR(__xludf.DUMMYFUNCTION("""COMPUTED_VALUE"""),"043/SE/LPH/II/2026")</f>
        <v>043/SE/LPH/II/2026</v>
      </c>
      <c r="B58" s="6" t="str">
        <f>IFERROR(__xludf.DUMMYFUNCTION("""COMPUTED_VALUE"""),"Surat Permohonan Renovasi Kantor")</f>
        <v>Surat Permohonan Renovasi Kantor</v>
      </c>
      <c r="C58" s="4"/>
      <c r="D58" s="6">
        <f>IFERROR(__xludf.DUMMYFUNCTION("""COMPUTED_VALUE"""),56.0)</f>
        <v>56</v>
      </c>
      <c r="E58" s="6" t="str">
        <f>IFERROR(__xludf.DUMMYFUNCTION("""COMPUTED_VALUE"""),"SH2026-1-2201635")</f>
        <v>SH2026-1-2201635</v>
      </c>
      <c r="F58" s="6" t="str">
        <f>IFERROR(__xludf.DUMMYFUNCTION("""COMPUTED_VALUE"""),"RISALAH RIZKIA WISATA")</f>
        <v>RISALAH RIZKIA WISATA</v>
      </c>
      <c r="G58" s="6" t="str">
        <f>IFERROR(__xludf.DUMMYFUNCTION("""COMPUTED_VALUE"""),"Penyedia Makanan dan minuman dengan pengolahan")</f>
        <v>Penyedia Makanan dan minuman dengan pengolahan</v>
      </c>
      <c r="H58" s="6" t="str">
        <f>IFERROR(__xludf.DUMMYFUNCTION("""COMPUTED_VALUE"""),"Jum'at, 08 Mei 2026")</f>
        <v>Jum'at, 08 Mei 2026</v>
      </c>
      <c r="I58" s="6" t="str">
        <f>IFERROR(__xludf.DUMMYFUNCTION("""COMPUTED_VALUE"""),"147")</f>
        <v>147</v>
      </c>
      <c r="J58" s="6">
        <f>IFERROR(__xludf.DUMMYFUNCTION("""COMPUTED_VALUE"""),148.0)</f>
        <v>148</v>
      </c>
      <c r="K58" s="7" t="str">
        <f>IFERROR(__xludf.DUMMYFUNCTION("""COMPUTED_VALUE"""),"https://drive.google.com/file/d/1EbD6x7KNTLVkSQplNCeduP1d7t5lMvAV/view?usp=drivesdk")</f>
        <v>https://drive.google.com/file/d/1EbD6x7KNTLVkSQplNCeduP1d7t5lMvAV/view?usp=drivesdk</v>
      </c>
      <c r="L58" s="7" t="str">
        <f>IFERROR(__xludf.DUMMYFUNCTION("""COMPUTED_VALUE"""),"https://drive.google.com/file/d/1KnDVFPPRcK4zqBy5yfR3a7UaSbziiunz/view?usp=drivesdk")</f>
        <v>https://drive.google.com/file/d/1KnDVFPPRcK4zqBy5yfR3a7UaSbziiunz/view?usp=drivesdk</v>
      </c>
      <c r="M58" s="7" t="str">
        <f>IFERROR(__xludf.DUMMYFUNCTION("""COMPUTED_VALUE"""),"https://drive.google.com/file/d/15e5qO2-Uu_PKKki8texEzJR_NkAxDlt3/view?usp=drivesdk")</f>
        <v>https://drive.google.com/file/d/15e5qO2-Uu_PKKki8texEzJR_NkAxDlt3/view?usp=drivesdk</v>
      </c>
    </row>
    <row r="59">
      <c r="A59" s="6" t="str">
        <f>IFERROR(__xludf.DUMMYFUNCTION("""COMPUTED_VALUE"""),"044/SPK-UINJKT-PU/II/2026")</f>
        <v>044/SPK-UINJKT-PU/II/2026</v>
      </c>
      <c r="B59" s="6" t="str">
        <f>IFERROR(__xludf.DUMMYFUNCTION("""COMPUTED_VALUE"""),"SURAT PERJANJIAN KERJASAMA PEMERIKSAAN LPH DENGAN PU")</f>
        <v>SURAT PERJANJIAN KERJASAMA PEMERIKSAAN LPH DENGAN PU</v>
      </c>
      <c r="C59" s="4"/>
    </row>
    <row r="60">
      <c r="A60" s="6" t="str">
        <f>IFERROR(__xludf.DUMMYFUNCTION("""COMPUTED_VALUE"""),"045/SE/LPH/II/2026")</f>
        <v>045/SE/LPH/II/2026</v>
      </c>
      <c r="B60" s="6" t="str">
        <f>IFERROR(__xludf.DUMMYFUNCTION("""COMPUTED_VALUE"""),"SURAT TUGAS AUDIT ")</f>
        <v>SURAT TUGAS AUDIT </v>
      </c>
      <c r="C60" s="4"/>
    </row>
    <row r="61">
      <c r="A61" s="6" t="str">
        <f>IFERROR(__xludf.DUMMYFUNCTION("""COMPUTED_VALUE"""),"046/SE/LPH/II/2026")</f>
        <v>046/SE/LPH/II/2026</v>
      </c>
      <c r="B61" s="6" t="str">
        <f>IFERROR(__xludf.DUMMYFUNCTION("""COMPUTED_VALUE"""),"SURAT TUGAS AUDIT ")</f>
        <v>SURAT TUGAS AUDIT </v>
      </c>
      <c r="C61" s="4"/>
    </row>
    <row r="62">
      <c r="A62" s="6" t="str">
        <f>IFERROR(__xludf.DUMMYFUNCTION("""COMPUTED_VALUE"""),"047/SPK-UINJKT-PU/II/2026")</f>
        <v>047/SPK-UINJKT-PU/II/2026</v>
      </c>
      <c r="B62" s="6" t="str">
        <f>IFERROR(__xludf.DUMMYFUNCTION("""COMPUTED_VALUE"""),"SURAT PERJANJIAN KERJASAMA PEMERIKSAAN LPH DENGAN PU")</f>
        <v>SURAT PERJANJIAN KERJASAMA PEMERIKSAAN LPH DENGAN PU</v>
      </c>
      <c r="C62" s="4"/>
    </row>
    <row r="63">
      <c r="A63" s="6" t="str">
        <f>IFERROR(__xludf.DUMMYFUNCTION("""COMPUTED_VALUE"""),"048/SE/LPH/II/2026")</f>
        <v>048/SE/LPH/II/2026</v>
      </c>
      <c r="B63" s="6" t="str">
        <f>IFERROR(__xludf.DUMMYFUNCTION("""COMPUTED_VALUE"""),"SURAT TUGAS AUDIT ")</f>
        <v>SURAT TUGAS AUDIT </v>
      </c>
      <c r="C63" s="4"/>
    </row>
    <row r="64">
      <c r="A64" s="6" t="str">
        <f>IFERROR(__xludf.DUMMYFUNCTION("""COMPUTED_VALUE"""),"049/SPK-UINJKT-PU/II/2026")</f>
        <v>049/SPK-UINJKT-PU/II/2026</v>
      </c>
      <c r="B64" s="6" t="str">
        <f>IFERROR(__xludf.DUMMYFUNCTION("""COMPUTED_VALUE"""),"SURAT PERJANJIAN KERJASAMA PEMERIKSAAN LPH DENGAN PU")</f>
        <v>SURAT PERJANJIAN KERJASAMA PEMERIKSAAN LPH DENGAN PU</v>
      </c>
      <c r="C64" s="4"/>
    </row>
    <row r="65">
      <c r="A65" s="6" t="str">
        <f>IFERROR(__xludf.DUMMYFUNCTION("""COMPUTED_VALUE"""),"049/SE/LPH/II/2026")</f>
        <v>049/SE/LPH/II/2026</v>
      </c>
      <c r="B65" s="6" t="str">
        <f>IFERROR(__xludf.DUMMYFUNCTION("""COMPUTED_VALUE"""),"SURAT TUGAS AUDIT ")</f>
        <v>SURAT TUGAS AUDIT </v>
      </c>
      <c r="C65" s="4"/>
    </row>
    <row r="66">
      <c r="A66" s="6" t="str">
        <f>IFERROR(__xludf.DUMMYFUNCTION("""COMPUTED_VALUE"""),"050/SPK-UINJKT-PU/II/2026")</f>
        <v>050/SPK-UINJKT-PU/II/2026</v>
      </c>
      <c r="B66" s="6" t="str">
        <f>IFERROR(__xludf.DUMMYFUNCTION("""COMPUTED_VALUE"""),"SURAT PERJANJIAN KERJASAMA PEMERIKSAAN LPH DENGAN PU")</f>
        <v>SURAT PERJANJIAN KERJASAMA PEMERIKSAAN LPH DENGAN PU</v>
      </c>
      <c r="C66" s="4"/>
    </row>
    <row r="67">
      <c r="A67" s="6" t="str">
        <f>IFERROR(__xludf.DUMMYFUNCTION("""COMPUTED_VALUE"""),"SPH-050/LPH-UINJKT/II/2026")</f>
        <v>SPH-050/LPH-UINJKT/II/2026</v>
      </c>
      <c r="B67" s="6" t="str">
        <f>IFERROR(__xludf.DUMMYFUNCTION("""COMPUTED_VALUE"""),"SURAT PENAWARAN HARGA (QUOTATION)")</f>
        <v>SURAT PENAWARAN HARGA (QUOTATION)</v>
      </c>
      <c r="C67" s="4"/>
    </row>
    <row r="68">
      <c r="A68" s="6" t="str">
        <f>IFERROR(__xludf.DUMMYFUNCTION("""COMPUTED_VALUE"""),"SPH-051/LPH-UINJKT/II/2026")</f>
        <v>SPH-051/LPH-UINJKT/II/2026</v>
      </c>
      <c r="B68" s="6" t="str">
        <f>IFERROR(__xludf.DUMMYFUNCTION("""COMPUTED_VALUE"""),"SURAT PENAWARAN HARGA (QUOTATION)")</f>
        <v>SURAT PENAWARAN HARGA (QUOTATION)</v>
      </c>
      <c r="C68" s="4"/>
    </row>
    <row r="69">
      <c r="A69" s="6" t="str">
        <f>IFERROR(__xludf.DUMMYFUNCTION("""COMPUTED_VALUE"""),"SPH-052/LPH-UINJKT/II/2026")</f>
        <v>SPH-052/LPH-UINJKT/II/2026</v>
      </c>
      <c r="B69" s="6" t="str">
        <f>IFERROR(__xludf.DUMMYFUNCTION("""COMPUTED_VALUE"""),"SURAT PENAWARAN HARGA LPH_DINKOP")</f>
        <v>SURAT PENAWARAN HARGA LPH_DINKOP</v>
      </c>
      <c r="C69" s="4"/>
    </row>
    <row r="70">
      <c r="A70" s="6" t="str">
        <f>IFERROR(__xludf.DUMMYFUNCTION("""COMPUTED_VALUE"""),"053/SE/LPH/II/2026")</f>
        <v>053/SE/LPH/II/2026</v>
      </c>
      <c r="B70" s="6" t="str">
        <f>IFERROR(__xludf.DUMMYFUNCTION("""COMPUTED_VALUE"""),"SURAT PERNYATAAN KESEDIAAN LPH_DINKOP")</f>
        <v>SURAT PERNYATAAN KESEDIAAN LPH_DINKOP</v>
      </c>
      <c r="C70" s="4"/>
    </row>
    <row r="71">
      <c r="A71" s="6" t="str">
        <f>IFERROR(__xludf.DUMMYFUNCTION("""COMPUTED_VALUE"""),"SPH-054/LPH-UINJKT/II/2026")</f>
        <v>SPH-054/LPH-UINJKT/II/2026</v>
      </c>
      <c r="B71" s="6" t="str">
        <f>IFERROR(__xludf.DUMMYFUNCTION("""COMPUTED_VALUE"""),"SURAT PENAWARAN HARGA (QUOTATION)")</f>
        <v>SURAT PENAWARAN HARGA (QUOTATION)</v>
      </c>
      <c r="C71" s="4"/>
    </row>
    <row r="72">
      <c r="A72" s="6" t="str">
        <f>IFERROR(__xludf.DUMMYFUNCTION("""COMPUTED_VALUE"""),"SPH-055/LPH-UINJKT/II/2026")</f>
        <v>SPH-055/LPH-UINJKT/II/2026</v>
      </c>
      <c r="B72" s="6" t="str">
        <f>IFERROR(__xludf.DUMMYFUNCTION("""COMPUTED_VALUE"""),"SURAT PENAWARAN HARGA (QUOTATION)")</f>
        <v>SURAT PENAWARAN HARGA (QUOTATION)</v>
      </c>
      <c r="C72" s="4"/>
    </row>
    <row r="73">
      <c r="A73" s="6" t="str">
        <f>IFERROR(__xludf.DUMMYFUNCTION("""COMPUTED_VALUE"""),"056/SPK-UINJKT-PU/II/2026")</f>
        <v>056/SPK-UINJKT-PU/II/2026</v>
      </c>
      <c r="B73" s="6" t="str">
        <f>IFERROR(__xludf.DUMMYFUNCTION("""COMPUTED_VALUE"""),"SURAT PERJANJIAN KERJASAMA PEMERIKSAAN LPH DENGAN PU")</f>
        <v>SURAT PERJANJIAN KERJASAMA PEMERIKSAAN LPH DENGAN PU</v>
      </c>
      <c r="C73" s="4"/>
    </row>
    <row r="74">
      <c r="A74" s="6" t="str">
        <f>IFERROR(__xludf.DUMMYFUNCTION("""COMPUTED_VALUE"""),"057/SE/LPH/II/2026")</f>
        <v>057/SE/LPH/II/2026</v>
      </c>
      <c r="B74" s="6" t="str">
        <f>IFERROR(__xludf.DUMMYFUNCTION("""COMPUTED_VALUE"""),"SURAT TUGAS AUDIT ")</f>
        <v>SURAT TUGAS AUDIT </v>
      </c>
      <c r="C74" s="4"/>
    </row>
    <row r="75">
      <c r="A75" s="6" t="str">
        <f>IFERROR(__xludf.DUMMYFUNCTION("""COMPUTED_VALUE"""),"058/SPK-UINJKT-PU/II/2026")</f>
        <v>058/SPK-UINJKT-PU/II/2026</v>
      </c>
      <c r="B75" s="6" t="str">
        <f>IFERROR(__xludf.DUMMYFUNCTION("""COMPUTED_VALUE"""),"SURAT PERJANJIAN KERJASAMA PEMERIKSAAN LPH DENGAN PU")</f>
        <v>SURAT PERJANJIAN KERJASAMA PEMERIKSAAN LPH DENGAN PU</v>
      </c>
      <c r="C75" s="4"/>
    </row>
    <row r="76">
      <c r="A76" s="6" t="str">
        <f>IFERROR(__xludf.DUMMYFUNCTION("""COMPUTED_VALUE"""),"059/SE/LPH/II/2026")</f>
        <v>059/SE/LPH/II/2026</v>
      </c>
      <c r="B76" s="6" t="str">
        <f>IFERROR(__xludf.DUMMYFUNCTION("""COMPUTED_VALUE"""),"SURAT TUGAS AUDIT ")</f>
        <v>SURAT TUGAS AUDIT </v>
      </c>
      <c r="C76" s="4"/>
    </row>
    <row r="77">
      <c r="A77" s="6" t="str">
        <f>IFERROR(__xludf.DUMMYFUNCTION("""COMPUTED_VALUE"""),"060/SE/LPH/II/2026")</f>
        <v>060/SE/LPH/II/2026</v>
      </c>
      <c r="B77" s="6" t="str">
        <f>IFERROR(__xludf.DUMMYFUNCTION("""COMPUTED_VALUE"""),"SURAT TUGAS AUDIT - TOYA BUMI BERSIH")</f>
        <v>SURAT TUGAS AUDIT - TOYA BUMI BERSIH</v>
      </c>
      <c r="C77" s="4"/>
    </row>
    <row r="78">
      <c r="A78" s="6" t="str">
        <f>IFERROR(__xludf.DUMMYFUNCTION("""COMPUTED_VALUE"""),"061/SPK-UINJKT-PU/II/2026")</f>
        <v>061/SPK-UINJKT-PU/II/2026</v>
      </c>
      <c r="B78" s="6" t="str">
        <f>IFERROR(__xludf.DUMMYFUNCTION("""COMPUTED_VALUE"""),"SPK - TOYA BUMI BERSIH")</f>
        <v>SPK - TOYA BUMI BERSIH</v>
      </c>
      <c r="C78" s="4"/>
    </row>
    <row r="79">
      <c r="A79" s="6" t="str">
        <f>IFERROR(__xludf.DUMMYFUNCTION("""COMPUTED_VALUE"""),"062/SE/LPH/III/2026")</f>
        <v>062/SE/LPH/III/2026</v>
      </c>
      <c r="B79" s="6" t="str">
        <f>IFERROR(__xludf.DUMMYFUNCTION("""COMPUTED_VALUE"""),"SURAT TUGAS AUDIT - TB YANUAR ARYANDI")</f>
        <v>SURAT TUGAS AUDIT - TB YANUAR ARYANDI</v>
      </c>
      <c r="C79" s="4"/>
    </row>
    <row r="80">
      <c r="A80" s="6" t="str">
        <f>IFERROR(__xludf.DUMMYFUNCTION("""COMPUTED_VALUE"""),"063/SPK-UINJKT-PU/III/2026")</f>
        <v>063/SPK-UINJKT-PU/III/2026</v>
      </c>
      <c r="B80" s="6" t="str">
        <f>IFERROR(__xludf.DUMMYFUNCTION("""COMPUTED_VALUE"""),"SPK - TB YANUAR ARYANDI")</f>
        <v>SPK - TB YANUAR ARYANDI</v>
      </c>
      <c r="C80" s="4"/>
    </row>
    <row r="81">
      <c r="A81" s="6" t="str">
        <f>IFERROR(__xludf.DUMMYFUNCTION("""COMPUTED_VALUE"""),"064/SE/LPH/III/2026")</f>
        <v>064/SE/LPH/III/2026</v>
      </c>
      <c r="B81" s="6" t="str">
        <f>IFERROR(__xludf.DUMMYFUNCTION("""COMPUTED_VALUE"""),"Permohonan Pencairan Dana Sertifikasi Halal Pelaku Usaha ")</f>
        <v>Permohonan Pencairan Dana Sertifikasi Halal Pelaku Usaha </v>
      </c>
      <c r="C81" s="4"/>
    </row>
    <row r="82">
      <c r="A82" s="6" t="str">
        <f>IFERROR(__xludf.DUMMYFUNCTION("""COMPUTED_VALUE"""),"065/SE/LPH/III/2026")</f>
        <v>065/SE/LPH/III/2026</v>
      </c>
      <c r="B82" s="6" t="str">
        <f>IFERROR(__xludf.DUMMYFUNCTION("""COMPUTED_VALUE"""),"SURAT TUGAS AUDIT - BLASFOLIE INTERNASIONAL INDONESIA")</f>
        <v>SURAT TUGAS AUDIT - BLASFOLIE INTERNASIONAL INDONESIA</v>
      </c>
      <c r="C82" s="4"/>
    </row>
    <row r="83">
      <c r="A83" s="6" t="str">
        <f>IFERROR(__xludf.DUMMYFUNCTION("""COMPUTED_VALUE"""),"066/SPK-UINJKT-PU/III/2026")</f>
        <v>066/SPK-UINJKT-PU/III/2026</v>
      </c>
      <c r="B83" s="6" t="str">
        <f>IFERROR(__xludf.DUMMYFUNCTION("""COMPUTED_VALUE"""),"SPK - BLASFOLIE INTERNASIONAL INDONESIA")</f>
        <v>SPK - BLASFOLIE INTERNASIONAL INDONESIA</v>
      </c>
      <c r="C83" s="4"/>
    </row>
    <row r="84">
      <c r="A84" s="6" t="str">
        <f>IFERROR(__xludf.DUMMYFUNCTION("""COMPUTED_VALUE"""),"067/SE/LPH/III/2026")</f>
        <v>067/SE/LPH/III/2026</v>
      </c>
      <c r="B84" s="6" t="str">
        <f>IFERROR(__xludf.DUMMYFUNCTION("""COMPUTED_VALUE"""),"SURAT TUGAS AUDIT - ASHRI AFIFI")</f>
        <v>SURAT TUGAS AUDIT - ASHRI AFIFI</v>
      </c>
      <c r="C84" s="4"/>
    </row>
    <row r="85">
      <c r="A85" s="6" t="str">
        <f>IFERROR(__xludf.DUMMYFUNCTION("""COMPUTED_VALUE"""),"068/SPK-UINJKT-PU/III/2026")</f>
        <v>068/SPK-UINJKT-PU/III/2026</v>
      </c>
      <c r="B85" s="6" t="str">
        <f>IFERROR(__xludf.DUMMYFUNCTION("""COMPUTED_VALUE"""),"SPK - ASHRI AFIFI")</f>
        <v>SPK - ASHRI AFIFI</v>
      </c>
      <c r="C85" s="4"/>
    </row>
    <row r="86">
      <c r="A86" s="6" t="str">
        <f>IFERROR(__xludf.DUMMYFUNCTION("""COMPUTED_VALUE"""),"069/SE/LPH/III/2026")</f>
        <v>069/SE/LPH/III/2026</v>
      </c>
      <c r="B86" s="6" t="str">
        <f>IFERROR(__xludf.DUMMYFUNCTION("""COMPUTED_VALUE"""),"SURAT TUGAS AUDIT - HERRY CHANDRA")</f>
        <v>SURAT TUGAS AUDIT - HERRY CHANDRA</v>
      </c>
      <c r="C86" s="4"/>
    </row>
    <row r="87">
      <c r="A87" s="6" t="str">
        <f>IFERROR(__xludf.DUMMYFUNCTION("""COMPUTED_VALUE"""),"070/SPK-UINJKT-PU/III/2026")</f>
        <v>070/SPK-UINJKT-PU/III/2026</v>
      </c>
      <c r="B87" s="6" t="str">
        <f>IFERROR(__xludf.DUMMYFUNCTION("""COMPUTED_VALUE"""),"SPK - HERRY CHANDRA")</f>
        <v>SPK - HERRY CHANDRA</v>
      </c>
      <c r="C87" s="4"/>
    </row>
    <row r="88">
      <c r="A88" s="6" t="str">
        <f>IFERROR(__xludf.DUMMYFUNCTION("""COMPUTED_VALUE"""),"071/SE/LPH/III/2026")</f>
        <v>071/SE/LPH/III/2026</v>
      </c>
      <c r="B88" s="6" t="str">
        <f>IFERROR(__xludf.DUMMYFUNCTION("""COMPUTED_VALUE"""),"SURAT TUGAS AUDIT - CV. INDO AROMA UTAMA")</f>
        <v>SURAT TUGAS AUDIT - CV. INDO AROMA UTAMA</v>
      </c>
      <c r="C88" s="4"/>
    </row>
    <row r="89">
      <c r="A89" s="6" t="str">
        <f>IFERROR(__xludf.DUMMYFUNCTION("""COMPUTED_VALUE"""),"072/SPK-UINJKT-PU/III/2026")</f>
        <v>072/SPK-UINJKT-PU/III/2026</v>
      </c>
      <c r="B89" s="6" t="str">
        <f>IFERROR(__xludf.DUMMYFUNCTION("""COMPUTED_VALUE"""),"SPK - CV. INDO AROMA UTAMA")</f>
        <v>SPK - CV. INDO AROMA UTAMA</v>
      </c>
      <c r="C89" s="4"/>
    </row>
    <row r="90">
      <c r="A90" s="6" t="str">
        <f>IFERROR(__xludf.DUMMYFUNCTION("""COMPUTED_VALUE"""),"073/SE/LPH/III/2026")</f>
        <v>073/SE/LPH/III/2026</v>
      </c>
      <c r="B90" s="6" t="str">
        <f>IFERROR(__xludf.DUMMYFUNCTION("""COMPUTED_VALUE"""),"SURAT TUGAS AUDIT - Malik Jabbar Herbalindo")</f>
        <v>SURAT TUGAS AUDIT - Malik Jabbar Herbalindo</v>
      </c>
      <c r="C90" s="4"/>
    </row>
    <row r="91">
      <c r="A91" s="6" t="str">
        <f>IFERROR(__xludf.DUMMYFUNCTION("""COMPUTED_VALUE"""),"074/SPK-UINJKT-PU/III/2026")</f>
        <v>074/SPK-UINJKT-PU/III/2026</v>
      </c>
      <c r="B91" s="6" t="str">
        <f>IFERROR(__xludf.DUMMYFUNCTION("""COMPUTED_VALUE"""),"SPK - Malik Jabbar Herbalindo")</f>
        <v>SPK - Malik Jabbar Herbalindo</v>
      </c>
      <c r="C91" s="4"/>
    </row>
    <row r="92">
      <c r="A92" s="6" t="str">
        <f>IFERROR(__xludf.DUMMYFUNCTION("""COMPUTED_VALUE"""),"075/SE/LPH/III/2026")</f>
        <v>075/SE/LPH/III/2026</v>
      </c>
      <c r="B92" s="6" t="str">
        <f>IFERROR(__xludf.DUMMYFUNCTION("""COMPUTED_VALUE"""),"SURAT TUGAS_Peningkatan Mutu Auditor Halal_BPJPH")</f>
        <v>SURAT TUGAS_Peningkatan Mutu Auditor Halal_BPJPH</v>
      </c>
      <c r="C92" s="4"/>
    </row>
    <row r="93">
      <c r="A93" s="6" t="str">
        <f>IFERROR(__xludf.DUMMYFUNCTION("""COMPUTED_VALUE"""),"076/SPK-UINJKT-PU/III/2026")</f>
        <v>076/SPK-UINJKT-PU/III/2026</v>
      </c>
      <c r="B93" s="6" t="str">
        <f>IFERROR(__xludf.DUMMYFUNCTION("""COMPUTED_VALUE"""),"SPK - PT. Inocrea Indonesia - Jasa Pendistribusian")</f>
        <v>SPK - PT. Inocrea Indonesia - Jasa Pendistribusian</v>
      </c>
      <c r="C93" s="4"/>
    </row>
    <row r="94">
      <c r="A94" s="6" t="str">
        <f>IFERROR(__xludf.DUMMYFUNCTION("""COMPUTED_VALUE"""),"077/SE/LPH/III/2026")</f>
        <v>077/SE/LPH/III/2026</v>
      </c>
      <c r="B94" s="6" t="str">
        <f>IFERROR(__xludf.DUMMYFUNCTION("""COMPUTED_VALUE"""),"SURAT TUGAS - PT. Inocrea Indonesia - Jasa Pendistribusian")</f>
        <v>SURAT TUGAS - PT. Inocrea Indonesia - Jasa Pendistribusian</v>
      </c>
      <c r="C94" s="4"/>
    </row>
    <row r="95">
      <c r="A95" s="6" t="str">
        <f>IFERROR(__xludf.DUMMYFUNCTION("""COMPUTED_VALUE"""),"078/SPK-UINJKT-PU/III/2026")</f>
        <v>078/SPK-UINJKT-PU/III/2026</v>
      </c>
      <c r="B95" s="6" t="str">
        <f>IFERROR(__xludf.DUMMYFUNCTION("""COMPUTED_VALUE"""),"SPK - PT. Inocrea Indonesia - Jasa Penyimpanan")</f>
        <v>SPK - PT. Inocrea Indonesia - Jasa Penyimpanan</v>
      </c>
      <c r="C95" s="4"/>
    </row>
    <row r="96">
      <c r="A96" s="6" t="str">
        <f>IFERROR(__xludf.DUMMYFUNCTION("""COMPUTED_VALUE"""),"079/SE/LPH/III/2026")</f>
        <v>079/SE/LPH/III/2026</v>
      </c>
      <c r="B96" s="6" t="str">
        <f>IFERROR(__xludf.DUMMYFUNCTION("""COMPUTED_VALUE"""),"SURAT TUGAS - PT. Inocrea Indonesia - Jasa Penyimpanan")</f>
        <v>SURAT TUGAS - PT. Inocrea Indonesia - Jasa Penyimpanan</v>
      </c>
      <c r="C96" s="4"/>
    </row>
    <row r="97">
      <c r="A97" s="6" t="str">
        <f>IFERROR(__xludf.DUMMYFUNCTION("""COMPUTED_VALUE"""),"080/SE/LPH/IV/2026")</f>
        <v>080/SE/LPH/IV/2026</v>
      </c>
      <c r="B97" s="6" t="str">
        <f>IFERROR(__xludf.DUMMYFUNCTION("""COMPUTED_VALUE"""),"Permohonan Pencairan Dana Sertifikasi Halal Pelaku Usaha ")</f>
        <v>Permohonan Pencairan Dana Sertifikasi Halal Pelaku Usaha </v>
      </c>
      <c r="C97" s="4"/>
    </row>
    <row r="98">
      <c r="A98" s="6" t="str">
        <f>IFERROR(__xludf.DUMMYFUNCTION("""COMPUTED_VALUE"""),"081/SPK/LPH/IV/2026")</f>
        <v>081/SPK/LPH/IV/2026</v>
      </c>
      <c r="B98" s="6" t="str">
        <f>IFERROR(__xludf.DUMMYFUNCTION("""COMPUTED_VALUE"""),"SPK - MAJU BAHAGIA CAKUE")</f>
        <v>SPK - MAJU BAHAGIA CAKUE</v>
      </c>
      <c r="C98" s="4"/>
    </row>
    <row r="99">
      <c r="A99" s="6" t="str">
        <f>IFERROR(__xludf.DUMMYFUNCTION("""COMPUTED_VALUE"""),"082/SE/LPH/IV/2026")</f>
        <v>082/SE/LPH/IV/2026</v>
      </c>
      <c r="B99" s="6" t="str">
        <f>IFERROR(__xludf.DUMMYFUNCTION("""COMPUTED_VALUE"""),"SURAT TUGAS - MAJU BAHAGIA CAKUE")</f>
        <v>SURAT TUGAS - MAJU BAHAGIA CAKUE</v>
      </c>
      <c r="C99" s="4"/>
    </row>
    <row r="100">
      <c r="A100" s="6" t="str">
        <f>IFERROR(__xludf.DUMMYFUNCTION("""COMPUTED_VALUE"""),"083/SPK/LPH/IV/2026")</f>
        <v>083/SPK/LPH/IV/2026</v>
      </c>
      <c r="B100" s="6" t="str">
        <f>IFERROR(__xludf.DUMMYFUNCTION("""COMPUTED_VALUE"""),"SPK - MINYAK URAPAN ANGGUR")</f>
        <v>SPK - MINYAK URAPAN ANGGUR</v>
      </c>
      <c r="C100" s="4"/>
    </row>
    <row r="101">
      <c r="A101" s="6" t="str">
        <f>IFERROR(__xludf.DUMMYFUNCTION("""COMPUTED_VALUE"""),"084/SE/LPH/IV/2026")</f>
        <v>084/SE/LPH/IV/2026</v>
      </c>
      <c r="B101" s="6" t="str">
        <f>IFERROR(__xludf.DUMMYFUNCTION("""COMPUTED_VALUE"""),"SURAT TUGAS - MINYAK URAPAN ANGGUR")</f>
        <v>SURAT TUGAS - MINYAK URAPAN ANGGUR</v>
      </c>
      <c r="C101" s="4"/>
    </row>
    <row r="102">
      <c r="A102" s="6" t="str">
        <f>IFERROR(__xludf.DUMMYFUNCTION("""COMPUTED_VALUE"""),"085/SE/LPH/IV/2026")</f>
        <v>085/SE/LPH/IV/2026</v>
      </c>
      <c r="B102" s="6" t="str">
        <f>IFERROR(__xludf.DUMMYFUNCTION("""COMPUTED_VALUE"""),"SURAT KETERANGAN PENGALAMAN KERJA_DZIKRIL")</f>
        <v>SURAT KETERANGAN PENGALAMAN KERJA_DZIKRIL</v>
      </c>
      <c r="C102" s="4"/>
    </row>
    <row r="103">
      <c r="A103" s="6" t="str">
        <f>IFERROR(__xludf.DUMMYFUNCTION("""COMPUTED_VALUE"""),"086/SPK/LPH/IV/2026")</f>
        <v>086/SPK/LPH/IV/2026</v>
      </c>
      <c r="B103" s="6" t="str">
        <f>IFERROR(__xludf.DUMMYFUNCTION("""COMPUTED_VALUE"""),"SPK - WINDY RALLY GIANA LESMANA")</f>
        <v>SPK - WINDY RALLY GIANA LESMANA</v>
      </c>
      <c r="C103" s="4"/>
    </row>
    <row r="104">
      <c r="A104" s="6" t="str">
        <f>IFERROR(__xludf.DUMMYFUNCTION("""COMPUTED_VALUE"""),"087/SE/LPH/IV/2026")</f>
        <v>087/SE/LPH/IV/2026</v>
      </c>
      <c r="B104" s="6" t="str">
        <f>IFERROR(__xludf.DUMMYFUNCTION("""COMPUTED_VALUE"""),"SURAT TUGAS - WINDY RALLY GIANA LESMANA")</f>
        <v>SURAT TUGAS - WINDY RALLY GIANA LESMANA</v>
      </c>
      <c r="C104" s="4"/>
    </row>
    <row r="105">
      <c r="A105" s="6" t="str">
        <f>IFERROR(__xludf.DUMMYFUNCTION("""COMPUTED_VALUE"""),"088/SPK/LPH/IV/2026")</f>
        <v>088/SPK/LPH/IV/2026</v>
      </c>
      <c r="B105" s="6" t="str">
        <f>IFERROR(__xludf.DUMMYFUNCTION("""COMPUTED_VALUE"""),"SPK - MURSYIDA MINANGMURT")</f>
        <v>SPK - MURSYIDA MINANGMURT</v>
      </c>
      <c r="C105" s="4"/>
    </row>
    <row r="106">
      <c r="A106" s="6" t="str">
        <f>IFERROR(__xludf.DUMMYFUNCTION("""COMPUTED_VALUE"""),"089/SE/LPH/IV/2026")</f>
        <v>089/SE/LPH/IV/2026</v>
      </c>
      <c r="B106" s="6" t="str">
        <f>IFERROR(__xludf.DUMMYFUNCTION("""COMPUTED_VALUE"""),"SURAT TUGAS - MURSYIDA MINANGMURT ")</f>
        <v>SURAT TUGAS - MURSYIDA MINANGMURT </v>
      </c>
      <c r="C106" s="4"/>
    </row>
    <row r="107">
      <c r="A107" s="6" t="str">
        <f>IFERROR(__xludf.DUMMYFUNCTION("""COMPUTED_VALUE"""),"090/SPK/LPH/IV/2026")</f>
        <v>090/SPK/LPH/IV/2026</v>
      </c>
      <c r="B107" s="6" t="str">
        <f>IFERROR(__xludf.DUMMYFUNCTION("""COMPUTED_VALUE"""),"SPK - ANJUMUZ ZUHRIYAH")</f>
        <v>SPK - ANJUMUZ ZUHRIYAH</v>
      </c>
      <c r="C107" s="4"/>
    </row>
    <row r="108">
      <c r="A108" s="6" t="str">
        <f>IFERROR(__xludf.DUMMYFUNCTION("""COMPUTED_VALUE"""),"091/SE/LPH/IV/2026")</f>
        <v>091/SE/LPH/IV/2026</v>
      </c>
      <c r="B108" s="6" t="str">
        <f>IFERROR(__xludf.DUMMYFUNCTION("""COMPUTED_VALUE"""),"SURAT TUGAS - ANJUMUZ ZUHRIYAH ")</f>
        <v>SURAT TUGAS - ANJUMUZ ZUHRIYAH </v>
      </c>
      <c r="C108" s="4"/>
    </row>
    <row r="109">
      <c r="A109" s="6" t="str">
        <f>IFERROR(__xludf.DUMMYFUNCTION("""COMPUTED_VALUE"""),"092/SPK/LPH/IV/2026")</f>
        <v>092/SPK/LPH/IV/2026</v>
      </c>
      <c r="B109" s="6" t="str">
        <f>IFERROR(__xludf.DUMMYFUNCTION("""COMPUTED_VALUE"""),"SPK - NASI GORENG PADANG BUNDO KANDUANG")</f>
        <v>SPK - NASI GORENG PADANG BUNDO KANDUANG</v>
      </c>
      <c r="C109" s="4"/>
    </row>
    <row r="110">
      <c r="A110" s="6" t="str">
        <f>IFERROR(__xludf.DUMMYFUNCTION("""COMPUTED_VALUE"""),"093/SE/LPH/IV/2026")</f>
        <v>093/SE/LPH/IV/2026</v>
      </c>
      <c r="B110" s="6" t="str">
        <f>IFERROR(__xludf.DUMMYFUNCTION("""COMPUTED_VALUE"""),"SURAT TUGAS - NASI GORENG PADANG BUNDO KANDUANG")</f>
        <v>SURAT TUGAS - NASI GORENG PADANG BUNDO KANDUANG</v>
      </c>
      <c r="C110" s="4"/>
    </row>
    <row r="111">
      <c r="A111" s="6" t="str">
        <f>IFERROR(__xludf.DUMMYFUNCTION("""COMPUTED_VALUE"""),"094/SPK/LPH/IV/2026")</f>
        <v>094/SPK/LPH/IV/2026</v>
      </c>
      <c r="B111" s="6" t="str">
        <f>IFERROR(__xludf.DUMMYFUNCTION("""COMPUTED_VALUE"""),"SPK - MINUMAN RINGAN KOMBUCHA")</f>
        <v>SPK - MINUMAN RINGAN KOMBUCHA</v>
      </c>
      <c r="C111" s="4"/>
    </row>
    <row r="112">
      <c r="A112" s="6" t="str">
        <f>IFERROR(__xludf.DUMMYFUNCTION("""COMPUTED_VALUE"""),"095/SE/LPH/IV/2026")</f>
        <v>095/SE/LPH/IV/2026</v>
      </c>
      <c r="B112" s="6" t="str">
        <f>IFERROR(__xludf.DUMMYFUNCTION("""COMPUTED_VALUE"""),"SURAT TUGAS - MINUMAM RINGAN KOMBUCHA")</f>
        <v>SURAT TUGAS - MINUMAM RINGAN KOMBUCHA</v>
      </c>
      <c r="C112" s="4"/>
    </row>
    <row r="113">
      <c r="A113" s="6" t="str">
        <f>IFERROR(__xludf.DUMMYFUNCTION("""COMPUTED_VALUE"""),"096/SPK/LPH/IV/2026")</f>
        <v>096/SPK/LPH/IV/2026</v>
      </c>
      <c r="B113" s="6" t="str">
        <f>IFERROR(__xludf.DUMMYFUNCTION("""COMPUTED_VALUE"""),"SPK - FAUZIAH SARI RASA PRIMA")</f>
        <v>SPK - FAUZIAH SARI RASA PRIMA</v>
      </c>
      <c r="C113" s="4"/>
    </row>
    <row r="114">
      <c r="A114" s="6" t="str">
        <f>IFERROR(__xludf.DUMMYFUNCTION("""COMPUTED_VALUE"""),"097/SE/LPH/IV/2026")</f>
        <v>097/SE/LPH/IV/2026</v>
      </c>
      <c r="B114" s="6" t="str">
        <f>IFERROR(__xludf.DUMMYFUNCTION("""COMPUTED_VALUE"""),"SURAT TUGAS - FAUZIAH SARI RASA PRIMA")</f>
        <v>SURAT TUGAS - FAUZIAH SARI RASA PRIMA</v>
      </c>
      <c r="C114" s="4"/>
    </row>
    <row r="115">
      <c r="A115" s="6" t="str">
        <f>IFERROR(__xludf.DUMMYFUNCTION("""COMPUTED_VALUE"""),"098/SE/LPH/IV/2026")</f>
        <v>098/SE/LPH/IV/2026</v>
      </c>
      <c r="B115" s="6" t="str">
        <f>IFERROR(__xludf.DUMMYFUNCTION("""COMPUTED_VALUE"""),"SURAT TUGAS TRISAN PU1")</f>
        <v>SURAT TUGAS TRISAN PU1</v>
      </c>
      <c r="C115" s="4"/>
    </row>
    <row r="116">
      <c r="A116" s="6" t="str">
        <f>IFERROR(__xludf.DUMMYFUNCTION("""COMPUTED_VALUE"""),"099/SE/LPH/IV/2026")</f>
        <v>099/SE/LPH/IV/2026</v>
      </c>
      <c r="B116" s="6" t="str">
        <f>IFERROR(__xludf.DUMMYFUNCTION("""COMPUTED_VALUE"""),"SURAT TUGAS TRISAN PU2")</f>
        <v>SURAT TUGAS TRISAN PU2</v>
      </c>
      <c r="C116" s="4"/>
    </row>
    <row r="117">
      <c r="A117" s="6" t="str">
        <f>IFERROR(__xludf.DUMMYFUNCTION("""COMPUTED_VALUE"""),"100/SPK/LPH/IV/2026")</f>
        <v>100/SPK/LPH/IV/2026</v>
      </c>
      <c r="B117" s="6" t="str">
        <f>IFERROR(__xludf.DUMMYFUNCTION("""COMPUTED_VALUE"""),"SPK TRISAN PU1")</f>
        <v>SPK TRISAN PU1</v>
      </c>
      <c r="C117" s="4"/>
    </row>
    <row r="118">
      <c r="A118" s="6" t="str">
        <f>IFERROR(__xludf.DUMMYFUNCTION("""COMPUTED_VALUE"""),"101/SPK/LPH/IV/2026")</f>
        <v>101/SPK/LPH/IV/2026</v>
      </c>
      <c r="B118" s="6" t="str">
        <f>IFERROR(__xludf.DUMMYFUNCTION("""COMPUTED_VALUE"""),"SPK TRISAN PU2")</f>
        <v>SPK TRISAN PU2</v>
      </c>
      <c r="C118" s="4"/>
    </row>
    <row r="119">
      <c r="A119" s="6" t="str">
        <f>IFERROR(__xludf.DUMMYFUNCTION("""COMPUTED_VALUE"""),"102/SE/LPH/IV/2026")</f>
        <v>102/SE/LPH/IV/2026</v>
      </c>
      <c r="B119" s="6" t="str">
        <f>IFERROR(__xludf.DUMMYFUNCTION("""COMPUTED_VALUE"""),"SURAT TUGAS - SINERGI LANGKAH KEMAKMURAN")</f>
        <v>SURAT TUGAS - SINERGI LANGKAH KEMAKMURAN</v>
      </c>
      <c r="C119" s="4"/>
    </row>
    <row r="120">
      <c r="A120" s="6" t="str">
        <f>IFERROR(__xludf.DUMMYFUNCTION("""COMPUTED_VALUE"""),"103/SE/LPH/IV/2026")</f>
        <v>103/SE/LPH/IV/2026</v>
      </c>
      <c r="B120" s="6" t="str">
        <f>IFERROR(__xludf.DUMMYFUNCTION("""COMPUTED_VALUE"""),"SURAT TUGAS - TANTI SOPIAH")</f>
        <v>SURAT TUGAS - TANTI SOPIAH</v>
      </c>
      <c r="C120" s="4"/>
    </row>
    <row r="121">
      <c r="A121" s="6" t="str">
        <f>IFERROR(__xludf.DUMMYFUNCTION("""COMPUTED_VALUE"""),"104/SPK/LPH/IV/2026")</f>
        <v>104/SPK/LPH/IV/2026</v>
      </c>
      <c r="B121" s="6" t="str">
        <f>IFERROR(__xludf.DUMMYFUNCTION("""COMPUTED_VALUE"""),"SPK - SINERGI LANGKAH KEMAKMURAN")</f>
        <v>SPK - SINERGI LANGKAH KEMAKMURAN</v>
      </c>
      <c r="C121" s="4"/>
    </row>
    <row r="122">
      <c r="A122" s="6" t="str">
        <f>IFERROR(__xludf.DUMMYFUNCTION("""COMPUTED_VALUE"""),"105/SPK/LPH/IV/2026")</f>
        <v>105/SPK/LPH/IV/2026</v>
      </c>
      <c r="B122" s="6" t="str">
        <f>IFERROR(__xludf.DUMMYFUNCTION("""COMPUTED_VALUE"""),"SPK - TANTI SOPIAH")</f>
        <v>SPK - TANTI SOPIAH</v>
      </c>
      <c r="C122" s="4"/>
    </row>
    <row r="123">
      <c r="A123" s="6" t="str">
        <f>IFERROR(__xludf.DUMMYFUNCTION("""COMPUTED_VALUE"""),"106/SE/LPH/IV/2026")</f>
        <v>106/SE/LPH/IV/2026</v>
      </c>
      <c r="B123" s="6" t="str">
        <f>IFERROR(__xludf.DUMMYFUNCTION("""COMPUTED_VALUE"""),"SURAT TUGAS - DIMSUM WON")</f>
        <v>SURAT TUGAS - DIMSUM WON</v>
      </c>
      <c r="C123" s="4"/>
    </row>
    <row r="124">
      <c r="A124" s="6" t="str">
        <f>IFERROR(__xludf.DUMMYFUNCTION("""COMPUTED_VALUE"""),"107/SPK/LPH/IV/2026")</f>
        <v>107/SPK/LPH/IV/2026</v>
      </c>
      <c r="B124" s="6" t="str">
        <f>IFERROR(__xludf.DUMMYFUNCTION("""COMPUTED_VALUE"""),"SPK - DIMSUM WON")</f>
        <v>SPK - DIMSUM WON</v>
      </c>
      <c r="C124" s="4"/>
    </row>
    <row r="125">
      <c r="A125" s="6" t="str">
        <f>IFERROR(__xludf.DUMMYFUNCTION("""COMPUTED_VALUE"""),"108/SE/LPH/IV/2026")</f>
        <v>108/SE/LPH/IV/2026</v>
      </c>
      <c r="B125" s="6" t="str">
        <f>IFERROR(__xludf.DUMMYFUNCTION("""COMPUTED_VALUE"""),"SURAT TUGAS -  DOMIKOS INDONESIA")</f>
        <v>SURAT TUGAS -  DOMIKOS INDONESIA</v>
      </c>
      <c r="C125" s="4"/>
    </row>
    <row r="126">
      <c r="A126" s="6" t="str">
        <f>IFERROR(__xludf.DUMMYFUNCTION("""COMPUTED_VALUE"""),"109/SPK/LPH/IV/2026")</f>
        <v>109/SPK/LPH/IV/2026</v>
      </c>
      <c r="B126" s="6" t="str">
        <f>IFERROR(__xludf.DUMMYFUNCTION("""COMPUTED_VALUE"""),"SPK -  DOMIKOS INDONESIA")</f>
        <v>SPK -  DOMIKOS INDONESIA</v>
      </c>
      <c r="C126" s="4"/>
    </row>
    <row r="127">
      <c r="A127" s="6" t="str">
        <f>IFERROR(__xludf.DUMMYFUNCTION("""COMPUTED_VALUE"""),"110/SE/LPH/IV/2026")</f>
        <v>110/SE/LPH/IV/2026</v>
      </c>
      <c r="B127" s="6" t="str">
        <f>IFERROR(__xludf.DUMMYFUNCTION("""COMPUTED_VALUE"""),"Permohonan Pencairan Dana Sertifikasi Halal Pelaku Usaha ")</f>
        <v>Permohonan Pencairan Dana Sertifikasi Halal Pelaku Usaha </v>
      </c>
      <c r="C127" s="4"/>
    </row>
    <row r="128">
      <c r="A128" s="6" t="str">
        <f>IFERROR(__xludf.DUMMYFUNCTION("""COMPUTED_VALUE"""),"SPH-111/LPH-UINJKT/IV/2026")</f>
        <v>SPH-111/LPH-UINJKT/IV/2026</v>
      </c>
      <c r="B128" s="6" t="str">
        <f>IFERROR(__xludf.DUMMYFUNCTION("""COMPUTED_VALUE"""),"SURAT PENAWARAN HARGA (QUOTATION)")</f>
        <v>SURAT PENAWARAN HARGA (QUOTATION)</v>
      </c>
      <c r="C128" s="4"/>
    </row>
    <row r="129">
      <c r="A129" s="6" t="str">
        <f>IFERROR(__xludf.DUMMYFUNCTION("""COMPUTED_VALUE"""),"SPH-112/LPH-UINJKT/IV/2026")</f>
        <v>SPH-112/LPH-UINJKT/IV/2026</v>
      </c>
      <c r="B129" s="6" t="str">
        <f>IFERROR(__xludf.DUMMYFUNCTION("""COMPUTED_VALUE"""),"SURAT PENAWARAN HARGA (QUOTATION)")</f>
        <v>SURAT PENAWARAN HARGA (QUOTATION)</v>
      </c>
      <c r="C129" s="4"/>
    </row>
    <row r="130">
      <c r="A130" s="6" t="str">
        <f>IFERROR(__xludf.DUMMYFUNCTION("""COMPUTED_VALUE"""),"113/SE/LPH/IV/2026")</f>
        <v>113/SE/LPH/IV/2026</v>
      </c>
      <c r="B130" s="6" t="str">
        <f>IFERROR(__xludf.DUMMYFUNCTION("""COMPUTED_VALUE"""),"SURAT TUGAS TRISAN PU AROMA REMPAH")</f>
        <v>SURAT TUGAS TRISAN PU AROMA REMPAH</v>
      </c>
      <c r="C130" s="4"/>
    </row>
    <row r="131">
      <c r="A131" s="6" t="str">
        <f>IFERROR(__xludf.DUMMYFUNCTION("""COMPUTED_VALUE"""),"114/SPK/LPH/IV/2026")</f>
        <v>114/SPK/LPH/IV/2026</v>
      </c>
      <c r="B131" s="6" t="str">
        <f>IFERROR(__xludf.DUMMYFUNCTION("""COMPUTED_VALUE"""),"SPK TRISAN PU AROMA REMPAH")</f>
        <v>SPK TRISAN PU AROMA REMPAH</v>
      </c>
      <c r="C131" s="4"/>
    </row>
    <row r="132">
      <c r="A132" s="6" t="str">
        <f>IFERROR(__xludf.DUMMYFUNCTION("""COMPUTED_VALUE"""),"115/SE/LPH/IV/2026")</f>
        <v>115/SE/LPH/IV/2026</v>
      </c>
      <c r="B132" s="6" t="str">
        <f>IFERROR(__xludf.DUMMYFUNCTION("""COMPUTED_VALUE"""),"SURAT KETERANGAN PENGALAMAN KERJA_YUSRAINI DIS")</f>
        <v>SURAT KETERANGAN PENGALAMAN KERJA_YUSRAINI DIS</v>
      </c>
      <c r="C132" s="4"/>
    </row>
    <row r="133">
      <c r="A133" s="6" t="str">
        <f>IFERROR(__xludf.DUMMYFUNCTION("""COMPUTED_VALUE"""),"116/SPK/LPH/IV/2026")</f>
        <v>116/SPK/LPH/IV/2026</v>
      </c>
      <c r="B133" s="6" t="str">
        <f>IFERROR(__xludf.DUMMYFUNCTION("""COMPUTED_VALUE"""),"SPK - ANUGERAH KENYANG BERSAMA")</f>
        <v>SPK - ANUGERAH KENYANG BERSAMA</v>
      </c>
      <c r="C133" s="4"/>
    </row>
    <row r="134">
      <c r="A134" s="6" t="str">
        <f>IFERROR(__xludf.DUMMYFUNCTION("""COMPUTED_VALUE"""),"117/SE/LPH/IV/2026")</f>
        <v>117/SE/LPH/IV/2026</v>
      </c>
      <c r="B134" s="6" t="str">
        <f>IFERROR(__xludf.DUMMYFUNCTION("""COMPUTED_VALUE"""),"SURAT TUGAS - ANUGERAH KENYANG BERSAMA")</f>
        <v>SURAT TUGAS - ANUGERAH KENYANG BERSAMA</v>
      </c>
      <c r="C134" s="4"/>
    </row>
    <row r="135">
      <c r="A135" s="6" t="str">
        <f>IFERROR(__xludf.DUMMYFUNCTION("""COMPUTED_VALUE"""),"118/SPK/LPH/IV/2026")</f>
        <v>118/SPK/LPH/IV/2026</v>
      </c>
      <c r="B135" s="6" t="str">
        <f>IFERROR(__xludf.DUMMYFUNCTION("""COMPUTED_VALUE"""),"SPK - NADYA AISSYAH MAHARINI")</f>
        <v>SPK - NADYA AISSYAH MAHARINI</v>
      </c>
      <c r="C135" s="4"/>
    </row>
    <row r="136">
      <c r="A136" s="6" t="str">
        <f>IFERROR(__xludf.DUMMYFUNCTION("""COMPUTED_VALUE"""),"119/SE/LPH/IV/2026")</f>
        <v>119/SE/LPH/IV/2026</v>
      </c>
      <c r="B136" s="6" t="str">
        <f>IFERROR(__xludf.DUMMYFUNCTION("""COMPUTED_VALUE"""),"SURAT TUGAS - NADYA AISSYAH MAHARINI")</f>
        <v>SURAT TUGAS - NADYA AISSYAH MAHARINI</v>
      </c>
      <c r="C136" s="4"/>
    </row>
    <row r="137">
      <c r="A137" s="6" t="str">
        <f>IFERROR(__xludf.DUMMYFUNCTION("""COMPUTED_VALUE"""),"120/SPK/LPH/IV/2026")</f>
        <v>120/SPK/LPH/IV/2026</v>
      </c>
      <c r="B137" s="6" t="str">
        <f>IFERROR(__xludf.DUMMYFUNCTION("""COMPUTED_VALUE"""),"SPK - MARINO PEDULI INDONESIA")</f>
        <v>SPK - MARINO PEDULI INDONESIA</v>
      </c>
      <c r="C137" s="4"/>
    </row>
    <row r="138">
      <c r="A138" s="6" t="str">
        <f>IFERROR(__xludf.DUMMYFUNCTION("""COMPUTED_VALUE"""),"121/SE/LPH/IV/2026")</f>
        <v>121/SE/LPH/IV/2026</v>
      </c>
      <c r="B138" s="6" t="str">
        <f>IFERROR(__xludf.DUMMYFUNCTION("""COMPUTED_VALUE"""),"SURAT TUGAS - MARINO PEDULI INDONESIA")</f>
        <v>SURAT TUGAS - MARINO PEDULI INDONESIA</v>
      </c>
      <c r="C138" s="4"/>
    </row>
    <row r="139">
      <c r="A139" s="6" t="str">
        <f>IFERROR(__xludf.DUMMYFUNCTION("""COMPUTED_VALUE"""),"122/SPK/LPH/IV/2026")</f>
        <v>122/SPK/LPH/IV/2026</v>
      </c>
      <c r="B139" s="6" t="str">
        <f>IFERROR(__xludf.DUMMYFUNCTION("""COMPUTED_VALUE"""),"SPK - SOLIHAT FITRIA")</f>
        <v>SPK - SOLIHAT FITRIA</v>
      </c>
      <c r="C139" s="4"/>
    </row>
    <row r="140">
      <c r="A140" s="6" t="str">
        <f>IFERROR(__xludf.DUMMYFUNCTION("""COMPUTED_VALUE"""),"123/SE/LPH/IV/2026")</f>
        <v>123/SE/LPH/IV/2026</v>
      </c>
      <c r="B140" s="6" t="str">
        <f>IFERROR(__xludf.DUMMYFUNCTION("""COMPUTED_VALUE"""),"SURAT TUGAS - SOLIHAT FITRIA")</f>
        <v>SURAT TUGAS - SOLIHAT FITRIA</v>
      </c>
      <c r="C140" s="4"/>
    </row>
    <row r="141">
      <c r="A141" s="6" t="str">
        <f>IFERROR(__xludf.DUMMYFUNCTION("""COMPUTED_VALUE"""),"124/SE/LPH/IV/2026")</f>
        <v>124/SE/LPH/IV/2026</v>
      </c>
      <c r="B141" s="6" t="str">
        <f>IFERROR(__xludf.DUMMYFUNCTION("""COMPUTED_VALUE"""),"SURAT PERMOHONAN BENCHMARK KE UIN MALANG")</f>
        <v>SURAT PERMOHONAN BENCHMARK KE UIN MALANG</v>
      </c>
      <c r="C141" s="4"/>
    </row>
    <row r="142">
      <c r="A142" s="6" t="str">
        <f>IFERROR(__xludf.DUMMYFUNCTION("""COMPUTED_VALUE"""),"125/SE/LPH/IV/2026")</f>
        <v>125/SE/LPH/IV/2026</v>
      </c>
      <c r="B142" s="6" t="str">
        <f>IFERROR(__xludf.DUMMYFUNCTION("""COMPUTED_VALUE"""),"Permohonan Pencairan Dana Sertifikasi Halal Pelaku Usaha ")</f>
        <v>Permohonan Pencairan Dana Sertifikasi Halal Pelaku Usaha </v>
      </c>
      <c r="C142" s="4"/>
    </row>
    <row r="143">
      <c r="A143" s="6" t="str">
        <f>IFERROR(__xludf.DUMMYFUNCTION("""COMPUTED_VALUE"""),"126/SE/LPH/IV/2026")</f>
        <v>126/SE/LPH/IV/2026</v>
      </c>
      <c r="B143" s="6" t="str">
        <f>IFERROR(__xludf.DUMMYFUNCTION("""COMPUTED_VALUE"""),"Permohonan Kantor LPH")</f>
        <v>Permohonan Kantor LPH</v>
      </c>
      <c r="C143" s="4"/>
    </row>
    <row r="144">
      <c r="A144" s="6" t="str">
        <f>IFERROR(__xludf.DUMMYFUNCTION("""COMPUTED_VALUE"""),"127/SE/LPH/IV/2026")</f>
        <v>127/SE/LPH/IV/2026</v>
      </c>
      <c r="B144" s="6" t="str">
        <f>IFERROR(__xludf.DUMMYFUNCTION("""COMPUTED_VALUE"""),"SURAT TUGAS - IQBAL MUBAROK")</f>
        <v>SURAT TUGAS - IQBAL MUBAROK</v>
      </c>
      <c r="C144" s="4"/>
    </row>
    <row r="145">
      <c r="A145" s="6" t="str">
        <f>IFERROR(__xludf.DUMMYFUNCTION("""COMPUTED_VALUE"""),"128/SPK/LPH/IV/2026")</f>
        <v>128/SPK/LPH/IV/2026</v>
      </c>
      <c r="B145" s="6" t="str">
        <f>IFERROR(__xludf.DUMMYFUNCTION("""COMPUTED_VALUE"""),"SPK - IQBAL MUBAROK")</f>
        <v>SPK - IQBAL MUBAROK</v>
      </c>
      <c r="C145" s="4"/>
    </row>
    <row r="146">
      <c r="A146" s="6" t="str">
        <f>IFERROR(__xludf.DUMMYFUNCTION("""COMPUTED_VALUE"""),"129/SPK/LPH/IV/2026")</f>
        <v>129/SPK/LPH/IV/2026</v>
      </c>
      <c r="B146" s="6" t="str">
        <f>IFERROR(__xludf.DUMMYFUNCTION("""COMPUTED_VALUE"""),"SPK - USWATUN KHASANAH")</f>
        <v>SPK - USWATUN KHASANAH</v>
      </c>
      <c r="C146" s="4"/>
    </row>
    <row r="147">
      <c r="A147" s="6" t="str">
        <f>IFERROR(__xludf.DUMMYFUNCTION("""COMPUTED_VALUE"""),"130/SE/LPH/IV/2026")</f>
        <v>130/SE/LPH/IV/2026</v>
      </c>
      <c r="B147" s="6" t="str">
        <f>IFERROR(__xludf.DUMMYFUNCTION("""COMPUTED_VALUE"""),"SURAT TUGAS - USWATUN KHASANAH")</f>
        <v>SURAT TUGAS - USWATUN KHASANAH</v>
      </c>
      <c r="C147" s="4"/>
    </row>
    <row r="148">
      <c r="A148" s="6" t="str">
        <f>IFERROR(__xludf.DUMMYFUNCTION("""COMPUTED_VALUE"""),"131/SPK/LPH/IV/2026")</f>
        <v>131/SPK/LPH/IV/2026</v>
      </c>
      <c r="B148" s="6" t="str">
        <f>IFERROR(__xludf.DUMMYFUNCTION("""COMPUTED_VALUE"""),"SPK - PT. ACCELIST PANGAN NUSANTARA")</f>
        <v>SPK - PT. ACCELIST PANGAN NUSANTARA</v>
      </c>
      <c r="C148" s="4"/>
    </row>
    <row r="149">
      <c r="A149" s="6" t="str">
        <f>IFERROR(__xludf.DUMMYFUNCTION("""COMPUTED_VALUE"""),"132/SE/LPH/IV/2026")</f>
        <v>132/SE/LPH/IV/2026</v>
      </c>
      <c r="B149" s="6" t="str">
        <f>IFERROR(__xludf.DUMMYFUNCTION("""COMPUTED_VALUE"""),"SURAT TUGAS - PT. ACCELIST PANGAN NUSANTARA")</f>
        <v>SURAT TUGAS - PT. ACCELIST PANGAN NUSANTARA</v>
      </c>
      <c r="C149" s="4"/>
    </row>
    <row r="150">
      <c r="A150" s="6" t="str">
        <f>IFERROR(__xludf.DUMMYFUNCTION("""COMPUTED_VALUE"""),"133/SPK/LPH/V/2026")</f>
        <v>133/SPK/LPH/V/2026</v>
      </c>
      <c r="B150" s="6" t="str">
        <f>IFERROR(__xludf.DUMMYFUNCTION("""COMPUTED_VALUE"""),"SPK - ")</f>
        <v>SPK - </v>
      </c>
      <c r="C150" s="4"/>
    </row>
    <row r="151">
      <c r="A151" s="6" t="str">
        <f>IFERROR(__xludf.DUMMYFUNCTION("""COMPUTED_VALUE"""),"134SE/LPH/IV/2026")</f>
        <v>134SE/LPH/IV/2026</v>
      </c>
      <c r="B151" s="6" t="str">
        <f>IFERROR(__xludf.DUMMYFUNCTION("""COMPUTED_VALUE"""),"SURAT TUGAS - ")</f>
        <v>SURAT TUGAS - </v>
      </c>
      <c r="C151" s="4"/>
    </row>
    <row r="152">
      <c r="A152" s="6" t="str">
        <f>IFERROR(__xludf.DUMMYFUNCTION("""COMPUTED_VALUE"""),"135/SPK/LPH/IV/2026")</f>
        <v>135/SPK/LPH/IV/2026</v>
      </c>
      <c r="B152" s="6" t="str">
        <f>IFERROR(__xludf.DUMMYFUNCTION("""COMPUTED_VALUE"""),"SPK SPPG KALISARI")</f>
        <v>SPK SPPG KALISARI</v>
      </c>
      <c r="C152" s="4"/>
    </row>
    <row r="153">
      <c r="A153" s="6" t="str">
        <f>IFERROR(__xludf.DUMMYFUNCTION("""COMPUTED_VALUE"""),"136/SE/LPH/IV/2026")</f>
        <v>136/SE/LPH/IV/2026</v>
      </c>
      <c r="B153" s="6" t="str">
        <f>IFERROR(__xludf.DUMMYFUNCTION("""COMPUTED_VALUE"""),"ST SPPG KALISARI")</f>
        <v>ST SPPG KALISARI</v>
      </c>
      <c r="C153" s="4"/>
    </row>
    <row r="154">
      <c r="A154" s="6" t="str">
        <f>IFERROR(__xludf.DUMMYFUNCTION("""COMPUTED_VALUE"""),"137/SPK/LPH/IV/2026")</f>
        <v>137/SPK/LPH/IV/2026</v>
      </c>
      <c r="B154" s="6" t="str">
        <f>IFERROR(__xludf.DUMMYFUNCTION("""COMPUTED_VALUE"""),"SPK SPPG BOGOR CIAWI JAMBULUWUK 2")</f>
        <v>SPK SPPG BOGOR CIAWI JAMBULUWUK 2</v>
      </c>
      <c r="C154" s="4"/>
    </row>
    <row r="155">
      <c r="A155" s="6" t="str">
        <f>IFERROR(__xludf.DUMMYFUNCTION("""COMPUTED_VALUE"""),"138/SPK/LPH/IV/2026")</f>
        <v>138/SPK/LPH/IV/2026</v>
      </c>
      <c r="B155" s="6" t="str">
        <f>IFERROR(__xludf.DUMMYFUNCTION("""COMPUTED_VALUE"""),"SPK SPPG BOGOR CIGOMBONG TUGUJAYA")</f>
        <v>SPK SPPG BOGOR CIGOMBONG TUGUJAYA</v>
      </c>
      <c r="C155" s="4"/>
    </row>
    <row r="156">
      <c r="A156" s="6" t="str">
        <f>IFERROR(__xludf.DUMMYFUNCTION("""COMPUTED_VALUE"""),"139/SE/LPH/IV/2026")</f>
        <v>139/SE/LPH/IV/2026</v>
      </c>
      <c r="B156" s="6" t="str">
        <f>IFERROR(__xludf.DUMMYFUNCTION("""COMPUTED_VALUE"""),"ST SPPG BOGOR CIAWI JAMBULUWUK 2")</f>
        <v>ST SPPG BOGOR CIAWI JAMBULUWUK 2</v>
      </c>
      <c r="C156" s="4"/>
    </row>
    <row r="157">
      <c r="A157" s="6" t="str">
        <f>IFERROR(__xludf.DUMMYFUNCTION("""COMPUTED_VALUE"""),"140/SE/LPH/IV/2026")</f>
        <v>140/SE/LPH/IV/2026</v>
      </c>
      <c r="B157" s="6" t="str">
        <f>IFERROR(__xludf.DUMMYFUNCTION("""COMPUTED_VALUE"""),"ST SPPG BOGOR CIGOMBONG TUGUJAYA")</f>
        <v>ST SPPG BOGOR CIGOMBONG TUGUJAYA</v>
      </c>
      <c r="C157" s="4"/>
    </row>
    <row r="158">
      <c r="A158" s="6" t="str">
        <f>IFERROR(__xludf.DUMMYFUNCTION("""COMPUTED_VALUE"""),"141/SPK/LPH/IV/2026")</f>
        <v>141/SPK/LPH/IV/2026</v>
      </c>
      <c r="B158" s="6" t="str">
        <f>IFERROR(__xludf.DUMMYFUNCTION("""COMPUTED_VALUE"""),"SPK")</f>
        <v>SPK</v>
      </c>
      <c r="C158" s="4"/>
    </row>
    <row r="159">
      <c r="A159" s="6" t="str">
        <f>IFERROR(__xludf.DUMMYFUNCTION("""COMPUTED_VALUE"""),"142/SPK/LPH/IV/2026")</f>
        <v>142/SPK/LPH/IV/2026</v>
      </c>
      <c r="B159" s="6" t="str">
        <f>IFERROR(__xludf.DUMMYFUNCTION("""COMPUTED_VALUE"""),"SPK")</f>
        <v>SPK</v>
      </c>
      <c r="C159" s="4"/>
    </row>
    <row r="160">
      <c r="A160" s="6" t="str">
        <f>IFERROR(__xludf.DUMMYFUNCTION("""COMPUTED_VALUE"""),"143/SE/LPH/IV/2026")</f>
        <v>143/SE/LPH/IV/2026</v>
      </c>
      <c r="B160" s="6" t="str">
        <f>IFERROR(__xludf.DUMMYFUNCTION("""COMPUTED_VALUE"""),"ST")</f>
        <v>ST</v>
      </c>
      <c r="C160" s="4"/>
    </row>
    <row r="161">
      <c r="A161" s="6" t="str">
        <f>IFERROR(__xludf.DUMMYFUNCTION("""COMPUTED_VALUE"""),"144/SE/LPH/IV/2026")</f>
        <v>144/SE/LPH/IV/2026</v>
      </c>
      <c r="B161" s="6" t="str">
        <f>IFERROR(__xludf.DUMMYFUNCTION("""COMPUTED_VALUE"""),"ST")</f>
        <v>ST</v>
      </c>
      <c r="C161" s="4"/>
    </row>
    <row r="162">
      <c r="A162" s="6" t="str">
        <f>IFERROR(__xludf.DUMMYFUNCTION("""COMPUTED_VALUE"""),"145/SE/LPH/V/2026")</f>
        <v>145/SE/LPH/V/2026</v>
      </c>
      <c r="B162" s="6" t="str">
        <f>IFERROR(__xludf.DUMMYFUNCTION("""COMPUTED_VALUE"""),"SURAT TUGAS - POLI CONTINDA NUSA")</f>
        <v>SURAT TUGAS - POLI CONTINDA NUSA</v>
      </c>
      <c r="C162" s="4"/>
    </row>
    <row r="163">
      <c r="A163" s="6" t="str">
        <f>IFERROR(__xludf.DUMMYFUNCTION("""COMPUTED_VALUE"""),"146/SPK/LPH/V/2026")</f>
        <v>146/SPK/LPH/V/2026</v>
      </c>
      <c r="B163" s="6" t="str">
        <f>IFERROR(__xludf.DUMMYFUNCTION("""COMPUTED_VALUE"""),"SPK - POLI CONTINDA NUSA")</f>
        <v>SPK - POLI CONTINDA NUSA</v>
      </c>
      <c r="C163" s="4"/>
    </row>
    <row r="164">
      <c r="A164" s="6" t="str">
        <f>IFERROR(__xludf.DUMMYFUNCTION("""COMPUTED_VALUE"""),"147/SE/LPH/V/2026")</f>
        <v>147/SE/LPH/V/2026</v>
      </c>
      <c r="B164" s="6" t="str">
        <f>IFERROR(__xludf.DUMMYFUNCTION("""COMPUTED_VALUE"""),"SURAT TUGAS - RISALAH RIZKIA WISATA")</f>
        <v>SURAT TUGAS - RISALAH RIZKIA WISATA</v>
      </c>
      <c r="C164" s="4"/>
    </row>
    <row r="165">
      <c r="A165" s="6" t="str">
        <f>IFERROR(__xludf.DUMMYFUNCTION("""COMPUTED_VALUE"""),"148/SPK/LPH/V/2026")</f>
        <v>148/SPK/LPH/V/2026</v>
      </c>
      <c r="B165" s="6" t="str">
        <f>IFERROR(__xludf.DUMMYFUNCTION("""COMPUTED_VALUE"""),"SPK - RISALAH RIZKIA WISATA")</f>
        <v>SPK - RISALAH RIZKIA WISATA</v>
      </c>
      <c r="C165" s="4"/>
    </row>
    <row r="166">
      <c r="A166" s="6"/>
      <c r="B166" s="6"/>
      <c r="C166" s="4"/>
    </row>
    <row r="167">
      <c r="A167" s="6"/>
      <c r="B167" s="6"/>
      <c r="C167" s="4"/>
    </row>
    <row r="168">
      <c r="A168" s="6"/>
      <c r="B168" s="6"/>
      <c r="C168" s="4"/>
    </row>
    <row r="169">
      <c r="A169" s="6"/>
      <c r="B169" s="6"/>
      <c r="C169" s="4"/>
    </row>
    <row r="170">
      <c r="A170" s="6"/>
      <c r="B170" s="6"/>
      <c r="C170" s="4"/>
    </row>
    <row r="171">
      <c r="A171" s="6"/>
      <c r="B171" s="6"/>
      <c r="C171" s="4"/>
    </row>
    <row r="172">
      <c r="A172" s="6"/>
      <c r="B172" s="6"/>
      <c r="C172" s="4"/>
    </row>
    <row r="173">
      <c r="A173" s="6"/>
      <c r="B173" s="6"/>
      <c r="C173" s="4"/>
    </row>
    <row r="174">
      <c r="A174" s="6"/>
      <c r="B174" s="6"/>
      <c r="C174" s="4"/>
    </row>
    <row r="175">
      <c r="A175" s="6"/>
      <c r="B175" s="6"/>
      <c r="C175" s="4"/>
    </row>
    <row r="176">
      <c r="A176" s="6"/>
      <c r="B176" s="6"/>
      <c r="C176" s="4"/>
    </row>
    <row r="177">
      <c r="A177" s="6"/>
      <c r="B177" s="6"/>
      <c r="C177" s="4"/>
    </row>
    <row r="178">
      <c r="A178" s="6"/>
      <c r="B178" s="6"/>
      <c r="C178" s="4"/>
    </row>
    <row r="179">
      <c r="A179" s="6"/>
      <c r="B179" s="6"/>
      <c r="C179" s="4"/>
    </row>
    <row r="180">
      <c r="A180" s="6"/>
      <c r="B180" s="6"/>
      <c r="C180" s="4"/>
    </row>
    <row r="181">
      <c r="A181" s="6"/>
      <c r="B181" s="6"/>
      <c r="C181" s="4"/>
    </row>
    <row r="182">
      <c r="A182" s="6"/>
      <c r="B182" s="6"/>
      <c r="C182" s="4"/>
    </row>
    <row r="183">
      <c r="A183" s="6"/>
      <c r="B183" s="6"/>
      <c r="C183" s="4"/>
    </row>
    <row r="184">
      <c r="A184" s="6"/>
      <c r="B184" s="6"/>
      <c r="C184" s="4"/>
    </row>
    <row r="185">
      <c r="A185" s="6"/>
      <c r="B185" s="6"/>
      <c r="C185" s="4"/>
    </row>
    <row r="186">
      <c r="A186" s="6"/>
      <c r="B186" s="6"/>
      <c r="C186" s="4"/>
    </row>
    <row r="187">
      <c r="A187" s="6"/>
      <c r="B187" s="6"/>
      <c r="C187" s="4"/>
    </row>
    <row r="188">
      <c r="A188" s="6"/>
      <c r="B188" s="6"/>
      <c r="C188" s="4"/>
    </row>
    <row r="189">
      <c r="A189" s="6"/>
      <c r="B189" s="6"/>
      <c r="C189" s="4"/>
    </row>
    <row r="190">
      <c r="A190" s="6"/>
      <c r="B190" s="6"/>
      <c r="C190" s="4"/>
    </row>
    <row r="191">
      <c r="A191" s="6"/>
      <c r="B191" s="6"/>
      <c r="C191" s="4"/>
    </row>
    <row r="192">
      <c r="A192" s="6"/>
      <c r="B192" s="6"/>
      <c r="C192" s="4"/>
    </row>
    <row r="193">
      <c r="A193" s="6"/>
      <c r="B193" s="6"/>
      <c r="C193" s="4"/>
    </row>
    <row r="194">
      <c r="A194" s="6"/>
      <c r="B194" s="6"/>
      <c r="C194" s="4"/>
    </row>
    <row r="195">
      <c r="A195" s="6"/>
      <c r="B195" s="6"/>
      <c r="C195" s="4"/>
    </row>
    <row r="196">
      <c r="A196" s="6"/>
      <c r="B196" s="6"/>
      <c r="C196" s="4"/>
    </row>
    <row r="197">
      <c r="A197" s="6"/>
      <c r="B197" s="6"/>
      <c r="C197" s="4"/>
    </row>
    <row r="198">
      <c r="A198" s="6"/>
      <c r="B198" s="6"/>
      <c r="C198" s="4"/>
    </row>
    <row r="199">
      <c r="A199" s="6"/>
      <c r="B199" s="6"/>
      <c r="C199" s="4"/>
    </row>
    <row r="200">
      <c r="A200" s="6"/>
      <c r="B200" s="6"/>
      <c r="C200" s="4"/>
    </row>
  </sheetData>
  <hyperlinks>
    <hyperlink r:id="rId1" ref="B2"/>
    <hyperlink r:id="rId2" ref="B3"/>
    <hyperlink r:id="rId3" ref="K3"/>
    <hyperlink r:id="rId4" ref="B4"/>
    <hyperlink r:id="rId5" ref="K4"/>
    <hyperlink r:id="rId6" ref="L4"/>
    <hyperlink r:id="rId7" ref="B5"/>
    <hyperlink r:id="rId8" ref="K5"/>
    <hyperlink r:id="rId9" ref="L5"/>
    <hyperlink r:id="rId10" ref="B6"/>
    <hyperlink r:id="rId11" ref="K6"/>
    <hyperlink r:id="rId12" ref="L6"/>
    <hyperlink r:id="rId13" ref="M6"/>
    <hyperlink r:id="rId14" ref="B7"/>
    <hyperlink r:id="rId15" ref="K7"/>
    <hyperlink r:id="rId16" ref="L7"/>
    <hyperlink r:id="rId17" ref="M7"/>
    <hyperlink r:id="rId18" ref="K8"/>
    <hyperlink r:id="rId19" ref="L8"/>
    <hyperlink r:id="rId20" ref="M8"/>
    <hyperlink r:id="rId21" ref="K9"/>
    <hyperlink r:id="rId22" ref="L9"/>
    <hyperlink r:id="rId23" ref="M9"/>
    <hyperlink r:id="rId24" ref="K10"/>
    <hyperlink r:id="rId25" ref="L10"/>
    <hyperlink r:id="rId26" ref="M10"/>
    <hyperlink r:id="rId27" ref="K11"/>
    <hyperlink r:id="rId28" ref="L11"/>
    <hyperlink r:id="rId29" ref="M11"/>
    <hyperlink r:id="rId30" ref="K12"/>
    <hyperlink r:id="rId31" ref="L12"/>
    <hyperlink r:id="rId32" ref="M12"/>
    <hyperlink r:id="rId33" ref="K13"/>
    <hyperlink r:id="rId34" ref="L13"/>
    <hyperlink r:id="rId35" ref="M13"/>
    <hyperlink r:id="rId36" ref="K14"/>
    <hyperlink r:id="rId37" ref="L14"/>
    <hyperlink r:id="rId38" ref="M14"/>
    <hyperlink r:id="rId39" ref="K15"/>
    <hyperlink r:id="rId40" ref="L15"/>
    <hyperlink r:id="rId41" ref="M15"/>
    <hyperlink r:id="rId42" ref="K16"/>
    <hyperlink r:id="rId43" ref="L16"/>
    <hyperlink r:id="rId44" ref="M16"/>
    <hyperlink r:id="rId45" ref="K17"/>
    <hyperlink r:id="rId46" ref="L17"/>
    <hyperlink r:id="rId47" ref="M17"/>
    <hyperlink r:id="rId48" ref="K18"/>
    <hyperlink r:id="rId49" ref="L18"/>
    <hyperlink r:id="rId50" ref="M18"/>
    <hyperlink r:id="rId51" ref="K19"/>
    <hyperlink r:id="rId52" ref="L19"/>
    <hyperlink r:id="rId53" ref="M19"/>
    <hyperlink r:id="rId54" ref="K20"/>
    <hyperlink r:id="rId55" ref="L20"/>
    <hyperlink r:id="rId56" ref="M20"/>
    <hyperlink r:id="rId57" ref="K21"/>
    <hyperlink r:id="rId58" ref="L21"/>
    <hyperlink r:id="rId59" ref="M21"/>
    <hyperlink r:id="rId60" ref="K22"/>
    <hyperlink r:id="rId61" ref="L22"/>
    <hyperlink r:id="rId62" ref="M22"/>
    <hyperlink r:id="rId63" ref="K23"/>
    <hyperlink r:id="rId64" ref="L23"/>
    <hyperlink r:id="rId65" ref="M23"/>
    <hyperlink r:id="rId66" ref="K24"/>
    <hyperlink r:id="rId67" ref="L24"/>
    <hyperlink r:id="rId68" ref="K25"/>
    <hyperlink r:id="rId69" ref="L25"/>
    <hyperlink r:id="rId70" ref="K26"/>
    <hyperlink r:id="rId71" ref="L26"/>
    <hyperlink r:id="rId72" ref="M26"/>
    <hyperlink r:id="rId73" ref="K27"/>
    <hyperlink r:id="rId74" ref="L27"/>
    <hyperlink r:id="rId75" ref="K28"/>
    <hyperlink r:id="rId76" ref="L28"/>
    <hyperlink r:id="rId77" ref="M28"/>
    <hyperlink r:id="rId78" ref="K29"/>
    <hyperlink r:id="rId79" ref="L29"/>
    <hyperlink r:id="rId80" ref="K30"/>
    <hyperlink r:id="rId81" ref="L30"/>
    <hyperlink r:id="rId82" ref="K31"/>
    <hyperlink r:id="rId83" ref="L31"/>
    <hyperlink r:id="rId84" ref="M31"/>
    <hyperlink r:id="rId85" ref="K32"/>
    <hyperlink r:id="rId86" ref="K33"/>
    <hyperlink r:id="rId87" ref="L33"/>
    <hyperlink r:id="rId88" ref="M33"/>
    <hyperlink r:id="rId89" ref="K34"/>
    <hyperlink r:id="rId90" ref="L34"/>
    <hyperlink r:id="rId91" ref="M34"/>
    <hyperlink r:id="rId92" ref="K35"/>
    <hyperlink r:id="rId93" ref="L35"/>
    <hyperlink r:id="rId94" ref="K36"/>
    <hyperlink r:id="rId95" ref="L36"/>
    <hyperlink r:id="rId96" ref="K37"/>
    <hyperlink r:id="rId97" ref="K38"/>
    <hyperlink r:id="rId98" ref="K39"/>
    <hyperlink r:id="rId99" ref="K40"/>
    <hyperlink r:id="rId100" ref="K41"/>
    <hyperlink r:id="rId101" ref="L41"/>
    <hyperlink r:id="rId102" ref="M41"/>
    <hyperlink r:id="rId103" ref="K42"/>
    <hyperlink r:id="rId104" ref="L42"/>
    <hyperlink r:id="rId105" ref="M42"/>
    <hyperlink r:id="rId106" ref="K43"/>
    <hyperlink r:id="rId107" ref="L43"/>
    <hyperlink r:id="rId108" ref="M43"/>
    <hyperlink r:id="rId109" ref="K44"/>
    <hyperlink r:id="rId110" ref="L44"/>
    <hyperlink r:id="rId111" ref="M44"/>
    <hyperlink r:id="rId112" ref="K45"/>
    <hyperlink r:id="rId113" ref="L45"/>
    <hyperlink r:id="rId114" ref="M45"/>
    <hyperlink r:id="rId115" ref="K46"/>
    <hyperlink r:id="rId116" ref="M46"/>
    <hyperlink r:id="rId117" ref="K47"/>
    <hyperlink r:id="rId118" ref="L47"/>
    <hyperlink r:id="rId119" ref="M47"/>
    <hyperlink r:id="rId120" ref="K48"/>
    <hyperlink r:id="rId121" ref="K49"/>
    <hyperlink r:id="rId122" ref="L49"/>
    <hyperlink r:id="rId123" ref="M49"/>
    <hyperlink r:id="rId124" ref="K50"/>
    <hyperlink r:id="rId125" ref="L50"/>
    <hyperlink r:id="rId126" ref="M50"/>
    <hyperlink r:id="rId127" ref="K51"/>
    <hyperlink r:id="rId128" ref="L51"/>
    <hyperlink r:id="rId129" ref="M51"/>
    <hyperlink r:id="rId130" ref="K52"/>
    <hyperlink r:id="rId131" ref="L52"/>
    <hyperlink r:id="rId132" ref="M52"/>
    <hyperlink r:id="rId133" ref="K53"/>
    <hyperlink r:id="rId134" ref="K54"/>
    <hyperlink r:id="rId135" ref="L54"/>
    <hyperlink r:id="rId136" ref="M54"/>
    <hyperlink r:id="rId137" ref="K55"/>
    <hyperlink r:id="rId138" ref="L55"/>
    <hyperlink r:id="rId139" ref="M55"/>
    <hyperlink r:id="rId140" ref="K56"/>
    <hyperlink r:id="rId141" ref="L56"/>
    <hyperlink r:id="rId142" ref="M56"/>
    <hyperlink r:id="rId143" ref="K57"/>
    <hyperlink r:id="rId144" ref="L57"/>
    <hyperlink r:id="rId145" ref="M57"/>
    <hyperlink r:id="rId146" ref="K58"/>
    <hyperlink r:id="rId147" ref="L58"/>
    <hyperlink r:id="rId148" ref="M58"/>
  </hyperlinks>
  <drawing r:id="rId1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5.63"/>
    <col customWidth="1" min="3" max="3" width="6.13"/>
    <col customWidth="1" min="4" max="4" width="13.75"/>
    <col customWidth="1" min="5" max="5" width="43.75"/>
    <col customWidth="1" min="6" max="6" width="33.13"/>
    <col customWidth="1" min="7" max="7" width="32.13"/>
    <col customWidth="1" min="8" max="11" width="18.88"/>
  </cols>
  <sheetData>
    <row r="1">
      <c r="A1" s="14" t="s">
        <v>26</v>
      </c>
      <c r="B1" s="14" t="s">
        <v>27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5</v>
      </c>
      <c r="H1" s="15" t="s">
        <v>32</v>
      </c>
      <c r="I1" s="15" t="s">
        <v>33</v>
      </c>
      <c r="J1" s="15" t="s">
        <v>34</v>
      </c>
      <c r="K1" s="15" t="s">
        <v>35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36</v>
      </c>
      <c r="B2" s="16" t="s">
        <v>37</v>
      </c>
      <c r="C2" s="16" t="s">
        <v>38</v>
      </c>
      <c r="D2" s="18" t="s">
        <v>39</v>
      </c>
      <c r="E2" s="16" t="s">
        <v>40</v>
      </c>
      <c r="F2" s="16" t="s">
        <v>41</v>
      </c>
      <c r="G2" s="16" t="s">
        <v>42</v>
      </c>
      <c r="H2" s="8" t="s">
        <v>43</v>
      </c>
      <c r="I2" s="19" t="s">
        <v>44</v>
      </c>
      <c r="J2" s="7" t="str">
        <f>HYPERLINK("https://drive.google.com/file/d/1oqu_mMyloJbqQ36gX1w5MOexQ5Lj_dox/view?usp=drivesdk","002_SPK - SPPG ABDI BANGSA CIANJUR")</f>
        <v>002_SPK - SPPG ABDI BANGSA CIANJUR</v>
      </c>
      <c r="K2" s="8" t="s">
        <v>45</v>
      </c>
    </row>
    <row r="3">
      <c r="A3" s="20" t="s">
        <v>46</v>
      </c>
      <c r="B3" s="8" t="s">
        <v>37</v>
      </c>
      <c r="C3" s="8" t="s">
        <v>47</v>
      </c>
      <c r="D3" s="8" t="s">
        <v>48</v>
      </c>
      <c r="E3" s="8" t="s">
        <v>49</v>
      </c>
      <c r="F3" s="12" t="s">
        <v>50</v>
      </c>
      <c r="G3" s="8" t="s">
        <v>51</v>
      </c>
      <c r="H3" s="8" t="s">
        <v>52</v>
      </c>
      <c r="I3" s="19" t="s">
        <v>53</v>
      </c>
      <c r="J3" s="7" t="str">
        <f>HYPERLINK("https://drive.google.com/file/d/1R__xp8_dTVJXL2pAOX3wDQ7xCcclToLO/view?usp=drivesdk","004_SPK - AYAM GORENG HAPPY")</f>
        <v>004_SPK - AYAM GORENG HAPPY</v>
      </c>
      <c r="K3" s="8" t="s">
        <v>54</v>
      </c>
    </row>
    <row r="4">
      <c r="A4" s="20" t="s">
        <v>55</v>
      </c>
      <c r="B4" s="8" t="s">
        <v>37</v>
      </c>
      <c r="C4" s="8" t="s">
        <v>56</v>
      </c>
      <c r="D4" s="8" t="s">
        <v>57</v>
      </c>
      <c r="E4" s="8" t="s">
        <v>58</v>
      </c>
      <c r="F4" s="21" t="s">
        <v>59</v>
      </c>
      <c r="G4" s="8" t="s">
        <v>60</v>
      </c>
      <c r="H4" s="8" t="s">
        <v>61</v>
      </c>
      <c r="I4" s="19" t="s">
        <v>62</v>
      </c>
      <c r="J4" s="7" t="str">
        <f>HYPERLINK("https://drive.google.com/file/d/1nDq7pfwtVf5j9924MCxu2YDsbBqvnVa0/view?usp=drivesdk","006_SPK - WILLIEM")</f>
        <v>006_SPK - WILLIEM</v>
      </c>
      <c r="K4" s="8" t="s">
        <v>63</v>
      </c>
    </row>
    <row r="5">
      <c r="A5" s="20" t="s">
        <v>64</v>
      </c>
      <c r="B5" s="8" t="s">
        <v>37</v>
      </c>
      <c r="C5" s="8" t="s">
        <v>56</v>
      </c>
      <c r="D5" s="8" t="s">
        <v>57</v>
      </c>
      <c r="E5" s="22" t="s">
        <v>65</v>
      </c>
      <c r="F5" s="21" t="s">
        <v>59</v>
      </c>
      <c r="G5" s="22" t="s">
        <v>66</v>
      </c>
      <c r="H5" s="8" t="s">
        <v>67</v>
      </c>
      <c r="I5" s="19" t="s">
        <v>68</v>
      </c>
      <c r="J5" s="7" t="str">
        <f>HYPERLINK("https://drive.google.com/file/d/19ZnHJ9lerPnyc5mB7DTyuLt-FLN_QWVF/view?usp=drivesdk","008_SPK - HJ MARDIAH DAN HJ CHALIMAH")</f>
        <v>008_SPK - HJ MARDIAH DAN HJ CHALIMAH</v>
      </c>
      <c r="K5" s="8" t="s">
        <v>69</v>
      </c>
    </row>
    <row r="6">
      <c r="A6" s="20" t="s">
        <v>70</v>
      </c>
      <c r="B6" s="8" t="s">
        <v>37</v>
      </c>
      <c r="C6" s="8" t="s">
        <v>71</v>
      </c>
      <c r="D6" s="8" t="s">
        <v>72</v>
      </c>
      <c r="E6" s="23" t="s">
        <v>73</v>
      </c>
      <c r="F6" s="21" t="s">
        <v>74</v>
      </c>
      <c r="G6" s="23" t="s">
        <v>75</v>
      </c>
      <c r="H6" s="8" t="s">
        <v>76</v>
      </c>
      <c r="I6" s="19" t="s">
        <v>77</v>
      </c>
      <c r="J6" s="7" t="str">
        <f>HYPERLINK("https://drive.google.com/file/d/1gPinhmTNPZgRF9OMAByXxkiMajbNQ4Mz/view?usp=drivesdk","010_SPK - PT. LEAN LAB INDONESIA")</f>
        <v>010_SPK - PT. LEAN LAB INDONESIA</v>
      </c>
      <c r="K6" s="8" t="s">
        <v>78</v>
      </c>
    </row>
    <row r="7">
      <c r="A7" s="20" t="s">
        <v>79</v>
      </c>
      <c r="B7" s="8" t="s">
        <v>37</v>
      </c>
      <c r="C7" s="8" t="s">
        <v>80</v>
      </c>
      <c r="D7" s="8" t="s">
        <v>81</v>
      </c>
      <c r="E7" s="22" t="s">
        <v>82</v>
      </c>
      <c r="F7" s="16" t="s">
        <v>83</v>
      </c>
      <c r="G7" s="22" t="s">
        <v>84</v>
      </c>
      <c r="H7" s="22" t="s">
        <v>85</v>
      </c>
      <c r="I7" s="24" t="s">
        <v>86</v>
      </c>
      <c r="J7" s="25" t="str">
        <f>HYPERLINK("https://drive.google.com/file/d/11Thgeqzfi64B1BxZNgV78wJy7IfBVNcC/view?usp=drivesdk","012_SPK - Ati Herawati")</f>
        <v>012_SPK - Ati Herawati</v>
      </c>
      <c r="K7" s="8" t="s">
        <v>87</v>
      </c>
    </row>
    <row r="8">
      <c r="A8" s="20" t="s">
        <v>88</v>
      </c>
      <c r="B8" s="8" t="s">
        <v>37</v>
      </c>
      <c r="C8" s="8" t="s">
        <v>80</v>
      </c>
      <c r="D8" s="8" t="s">
        <v>81</v>
      </c>
      <c r="E8" s="22" t="s">
        <v>89</v>
      </c>
      <c r="F8" s="16" t="s">
        <v>90</v>
      </c>
      <c r="G8" s="22" t="s">
        <v>91</v>
      </c>
      <c r="H8" s="22" t="s">
        <v>92</v>
      </c>
      <c r="I8" s="24" t="s">
        <v>93</v>
      </c>
      <c r="J8" s="25" t="str">
        <f>HYPERLINK("https://drive.google.com/file/d/1OhWLyzO9CTPDmauPhFnH3GQ5fUpEpkxc/view?usp=drivesdk","014_SPK - Yovita Kristi Handayani")</f>
        <v>014_SPK - Yovita Kristi Handayani</v>
      </c>
      <c r="K8" s="8" t="s">
        <v>87</v>
      </c>
    </row>
    <row r="9">
      <c r="A9" s="20" t="s">
        <v>94</v>
      </c>
      <c r="B9" s="8" t="s">
        <v>37</v>
      </c>
      <c r="C9" s="8" t="s">
        <v>80</v>
      </c>
      <c r="D9" s="8" t="s">
        <v>81</v>
      </c>
      <c r="E9" s="22" t="s">
        <v>95</v>
      </c>
      <c r="F9" s="16" t="s">
        <v>96</v>
      </c>
      <c r="G9" s="22" t="s">
        <v>97</v>
      </c>
      <c r="H9" s="22" t="s">
        <v>98</v>
      </c>
      <c r="I9" s="24" t="s">
        <v>99</v>
      </c>
      <c r="J9" s="25" t="str">
        <f>HYPERLINK("https://drive.google.com/file/d/1KWuVp_CGUg6woEUb_3pjXNgu7swB_yiD/view?usp=drivesdk","016_SPK - AKHMAT YATIM")</f>
        <v>016_SPK - AKHMAT YATIM</v>
      </c>
      <c r="K9" s="8" t="s">
        <v>100</v>
      </c>
    </row>
    <row r="10">
      <c r="A10" s="20" t="s">
        <v>101</v>
      </c>
      <c r="B10" s="8" t="s">
        <v>37</v>
      </c>
      <c r="C10" s="8" t="s">
        <v>80</v>
      </c>
      <c r="D10" s="8" t="s">
        <v>102</v>
      </c>
      <c r="E10" s="22" t="s">
        <v>103</v>
      </c>
      <c r="F10" s="21" t="s">
        <v>74</v>
      </c>
      <c r="G10" s="22" t="s">
        <v>104</v>
      </c>
      <c r="H10" s="22" t="s">
        <v>105</v>
      </c>
      <c r="I10" s="24" t="s">
        <v>106</v>
      </c>
      <c r="J10" s="25" t="str">
        <f>HYPERLINK("https://drive.google.com/file/d/1Du0Y5USrE3tenMeFJ3hhDO7A2MyRv1hG/view?usp=drivesdk","023_SPK - INTERNATIONAL CASSAVA CENTER")</f>
        <v>023_SPK - INTERNATIONAL CASSAVA CENTER</v>
      </c>
      <c r="K10" s="8" t="s">
        <v>107</v>
      </c>
    </row>
    <row r="11">
      <c r="A11" s="20" t="s">
        <v>108</v>
      </c>
      <c r="B11" s="8" t="s">
        <v>37</v>
      </c>
      <c r="C11" s="8" t="s">
        <v>56</v>
      </c>
      <c r="D11" s="8" t="s">
        <v>109</v>
      </c>
      <c r="E11" s="22" t="s">
        <v>110</v>
      </c>
      <c r="F11" s="21" t="s">
        <v>59</v>
      </c>
      <c r="G11" s="22" t="s">
        <v>111</v>
      </c>
      <c r="H11" s="22" t="s">
        <v>112</v>
      </c>
      <c r="I11" s="24" t="s">
        <v>113</v>
      </c>
      <c r="J11" s="25" t="str">
        <f>HYPERLINK("https://drive.google.com/file/d/1aZOTuYlAPGczP1zWZZB9ro0Ru_or_5ND/view?usp=drivesdk","026_SPK - KULINER PRIMA VIDYA")</f>
        <v>026_SPK - KULINER PRIMA VIDYA</v>
      </c>
      <c r="K11" s="8" t="s">
        <v>114</v>
      </c>
    </row>
    <row r="12">
      <c r="A12" s="20" t="s">
        <v>115</v>
      </c>
      <c r="B12" s="8" t="s">
        <v>37</v>
      </c>
      <c r="C12" s="8" t="s">
        <v>56</v>
      </c>
      <c r="D12" s="8" t="s">
        <v>109</v>
      </c>
      <c r="E12" s="22" t="s">
        <v>116</v>
      </c>
      <c r="F12" s="21" t="s">
        <v>59</v>
      </c>
      <c r="G12" s="22" t="s">
        <v>117</v>
      </c>
      <c r="H12" s="22" t="s">
        <v>118</v>
      </c>
      <c r="I12" s="24" t="s">
        <v>119</v>
      </c>
      <c r="J12" s="25" t="str">
        <f>HYPERLINK("https://drive.google.com/file/d/1qpQRin7aMkcWvSd-FqtelOELpegJp3lW/view?usp=drivesdk","032_SPK - AYAM GORENG REMPAH MURNI ")</f>
        <v>032_SPK - AYAM GORENG REMPAH MURNI </v>
      </c>
      <c r="K12" s="8" t="s">
        <v>120</v>
      </c>
    </row>
    <row r="13">
      <c r="A13" s="20" t="s">
        <v>121</v>
      </c>
      <c r="B13" s="8" t="s">
        <v>37</v>
      </c>
      <c r="C13" s="8" t="s">
        <v>56</v>
      </c>
      <c r="D13" s="8" t="s">
        <v>109</v>
      </c>
      <c r="E13" s="22" t="s">
        <v>122</v>
      </c>
      <c r="F13" s="21" t="s">
        <v>59</v>
      </c>
      <c r="G13" s="22" t="s">
        <v>123</v>
      </c>
      <c r="H13" s="22" t="s">
        <v>124</v>
      </c>
      <c r="I13" s="24" t="s">
        <v>125</v>
      </c>
      <c r="J13" s="25" t="str">
        <f>HYPERLINK("https://drive.google.com/file/d/1PuLHl5UfEC558pBz-CPIJzb3idJpVhNT/view?usp=drivesdk","034_SPK - AMELISAH BAKSO HUHAHUHA")</f>
        <v>034_SPK - AMELISAH BAKSO HUHAHUHA</v>
      </c>
      <c r="K13" s="8" t="s">
        <v>120</v>
      </c>
    </row>
    <row r="14">
      <c r="A14" s="26" t="s">
        <v>126</v>
      </c>
      <c r="B14" s="8" t="s">
        <v>37</v>
      </c>
      <c r="C14" s="8" t="s">
        <v>56</v>
      </c>
      <c r="D14" s="8" t="s">
        <v>109</v>
      </c>
      <c r="E14" s="22" t="s">
        <v>127</v>
      </c>
      <c r="F14" s="21" t="s">
        <v>74</v>
      </c>
      <c r="G14" s="22" t="s">
        <v>128</v>
      </c>
      <c r="H14" s="22" t="s">
        <v>129</v>
      </c>
      <c r="I14" s="24" t="s">
        <v>130</v>
      </c>
      <c r="J14" s="25" t="str">
        <f>HYPERLINK("https://drive.google.com/file/d/1zWpL7nFgtPQeot6jNZ7OIHtJS0WlH5ov/view?usp=drivesdk","036_SPK - AKHIDIN S")</f>
        <v>036_SPK - AKHIDIN S</v>
      </c>
      <c r="K14" s="8" t="s">
        <v>120</v>
      </c>
    </row>
    <row r="15">
      <c r="A15" s="26" t="s">
        <v>131</v>
      </c>
      <c r="B15" s="8" t="s">
        <v>132</v>
      </c>
      <c r="C15" s="8" t="s">
        <v>133</v>
      </c>
      <c r="D15" s="8" t="s">
        <v>134</v>
      </c>
      <c r="E15" s="22" t="s">
        <v>135</v>
      </c>
      <c r="F15" s="21" t="s">
        <v>74</v>
      </c>
      <c r="G15" s="22" t="s">
        <v>136</v>
      </c>
      <c r="H15" s="22" t="s">
        <v>137</v>
      </c>
      <c r="I15" s="24" t="s">
        <v>138</v>
      </c>
      <c r="J15" s="25" t="str">
        <f>HYPERLINK("https://drive.google.com/file/d/1xQkdZOtM_k0BXNw2u5SBVgUIOL8mz057/view?usp=drivesdk","038_SPK - MAT CHOLIL")</f>
        <v>038_SPK - MAT CHOLIL</v>
      </c>
      <c r="K15" s="8" t="s">
        <v>139</v>
      </c>
    </row>
    <row r="16">
      <c r="A16" s="26" t="s">
        <v>140</v>
      </c>
      <c r="B16" s="8" t="s">
        <v>132</v>
      </c>
      <c r="C16" s="8" t="s">
        <v>80</v>
      </c>
      <c r="D16" s="8" t="s">
        <v>141</v>
      </c>
      <c r="E16" s="22" t="s">
        <v>142</v>
      </c>
      <c r="F16" s="21" t="s">
        <v>74</v>
      </c>
      <c r="G16" s="22" t="s">
        <v>143</v>
      </c>
      <c r="H16" s="22" t="s">
        <v>144</v>
      </c>
      <c r="I16" s="24" t="s">
        <v>145</v>
      </c>
      <c r="J16" s="25" t="str">
        <f>HYPERLINK("https://drive.google.com/file/d/1eTQ1iuisjoRP0z0xLqaqbGuuF84HaHgy/view?usp=drivesdk","044_SPK - PT. ABI HERBAL INDONESIA")</f>
        <v>044_SPK - PT. ABI HERBAL INDONESIA</v>
      </c>
      <c r="K16" s="8" t="s">
        <v>139</v>
      </c>
    </row>
    <row r="17">
      <c r="A17" s="20" t="s">
        <v>146</v>
      </c>
      <c r="B17" s="8" t="s">
        <v>132</v>
      </c>
      <c r="C17" s="8" t="s">
        <v>147</v>
      </c>
      <c r="D17" s="8" t="s">
        <v>148</v>
      </c>
      <c r="E17" s="22" t="s">
        <v>149</v>
      </c>
      <c r="F17" s="16" t="s">
        <v>150</v>
      </c>
      <c r="G17" s="22" t="s">
        <v>151</v>
      </c>
      <c r="H17" s="22" t="s">
        <v>152</v>
      </c>
      <c r="I17" s="24" t="s">
        <v>153</v>
      </c>
      <c r="J17" s="25" t="str">
        <f>HYPERLINK("https://drive.google.com/file/d/14s0nVWbh4jO3iwSRCOG5WGlRVZeRv1dk/view?usp=drivesdk","047_SPK - HERRY CHANDRA")</f>
        <v>047_SPK - HERRY CHANDRA</v>
      </c>
      <c r="K17" s="8" t="s">
        <v>139</v>
      </c>
    </row>
    <row r="18">
      <c r="A18" s="20" t="s">
        <v>154</v>
      </c>
      <c r="B18" s="8" t="s">
        <v>132</v>
      </c>
      <c r="C18" s="8" t="s">
        <v>133</v>
      </c>
      <c r="D18" s="8" t="s">
        <v>155</v>
      </c>
      <c r="E18" s="22" t="s">
        <v>156</v>
      </c>
      <c r="F18" s="16" t="s">
        <v>157</v>
      </c>
      <c r="G18" s="22" t="s">
        <v>158</v>
      </c>
      <c r="H18" s="22" t="s">
        <v>159</v>
      </c>
      <c r="I18" s="24" t="s">
        <v>160</v>
      </c>
      <c r="J18" s="25" t="str">
        <f>HYPERLINK("https://drive.google.com/file/d/1XlXDQuPlWYOruogKVsJajdpeyou06Cjz/view?usp=drivesdk","049_SPK - PT. SEHATI BERSAMA ABADI")</f>
        <v>049_SPK - PT. SEHATI BERSAMA ABADI</v>
      </c>
      <c r="K18" s="8" t="s">
        <v>161</v>
      </c>
    </row>
    <row r="19">
      <c r="A19" s="8" t="s">
        <v>162</v>
      </c>
      <c r="B19" s="8" t="s">
        <v>132</v>
      </c>
      <c r="C19" s="8" t="s">
        <v>133</v>
      </c>
      <c r="D19" s="8" t="s">
        <v>163</v>
      </c>
      <c r="E19" s="8" t="s">
        <v>164</v>
      </c>
      <c r="F19" s="21" t="s">
        <v>59</v>
      </c>
      <c r="G19" s="8" t="s">
        <v>165</v>
      </c>
      <c r="H19" s="22" t="s">
        <v>166</v>
      </c>
      <c r="I19" s="24" t="s">
        <v>167</v>
      </c>
      <c r="J19" s="25" t="str">
        <f>HYPERLINK("https://drive.google.com/file/d/1zsAebtBw93pQxGN_61vwYG_3ArKb4jDb/view?usp=drivesdk","050_SPK - SAKIKO TERUS JAYA")</f>
        <v>050_SPK - SAKIKO TERUS JAYA</v>
      </c>
      <c r="K19" s="8" t="s">
        <v>168</v>
      </c>
    </row>
    <row r="20">
      <c r="A20" s="26" t="s">
        <v>169</v>
      </c>
      <c r="B20" s="8" t="s">
        <v>132</v>
      </c>
      <c r="C20" s="8" t="s">
        <v>133</v>
      </c>
      <c r="D20" s="8" t="s">
        <v>170</v>
      </c>
      <c r="E20" s="22" t="s">
        <v>171</v>
      </c>
      <c r="F20" s="21" t="s">
        <v>59</v>
      </c>
      <c r="G20" s="22" t="s">
        <v>172</v>
      </c>
      <c r="H20" s="22" t="s">
        <v>173</v>
      </c>
      <c r="I20" s="24" t="s">
        <v>174</v>
      </c>
      <c r="J20" s="25" t="str">
        <f>HYPERLINK("https://drive.google.com/file/d/1r5oydXGBbCvokYHZAOvFHqJjMZ4DhL5Z/view?usp=drivesdk","056_SPK - DRA WARDATUL ASRIAH")</f>
        <v>056_SPK - DRA WARDATUL ASRIAH</v>
      </c>
      <c r="K20" s="8" t="s">
        <v>175</v>
      </c>
    </row>
    <row r="21">
      <c r="A21" s="20" t="s">
        <v>176</v>
      </c>
      <c r="B21" s="8" t="s">
        <v>132</v>
      </c>
      <c r="C21" s="8" t="s">
        <v>133</v>
      </c>
      <c r="D21" s="8" t="s">
        <v>170</v>
      </c>
      <c r="E21" s="22" t="s">
        <v>177</v>
      </c>
      <c r="F21" s="21" t="s">
        <v>59</v>
      </c>
      <c r="G21" s="22" t="s">
        <v>66</v>
      </c>
      <c r="H21" s="22" t="s">
        <v>178</v>
      </c>
      <c r="I21" s="24" t="s">
        <v>179</v>
      </c>
      <c r="J21" s="25" t="str">
        <f>HYPERLINK("https://drive.google.com/file/d/1efjHSHjtCNfgAP1f3f3GBVYNb19-DFEM/view?usp=drivesdk","058_SPK - HJ MARDIAH DAN HJ CHALIMAH")</f>
        <v>058_SPK - HJ MARDIAH DAN HJ CHALIMAH</v>
      </c>
      <c r="K21" s="8" t="s">
        <v>175</v>
      </c>
    </row>
    <row r="22">
      <c r="A22" s="20" t="s">
        <v>180</v>
      </c>
      <c r="B22" s="8" t="s">
        <v>132</v>
      </c>
      <c r="C22" s="8" t="s">
        <v>181</v>
      </c>
      <c r="D22" s="8" t="s">
        <v>182</v>
      </c>
      <c r="E22" s="22" t="s">
        <v>183</v>
      </c>
      <c r="F22" s="27" t="s">
        <v>59</v>
      </c>
      <c r="G22" s="22" t="s">
        <v>184</v>
      </c>
      <c r="H22" s="22" t="s">
        <v>185</v>
      </c>
      <c r="I22" s="24" t="s">
        <v>186</v>
      </c>
      <c r="J22" s="25" t="str">
        <f>HYPERLINK("https://drive.google.com/file/d/1bfq7t28fXm90WVcLYLcGT8D3I686Gj5f/view?usp=drivesdk","061_SPK - TOYA BUMI BERSIH")</f>
        <v>061_SPK - TOYA BUMI BERSIH</v>
      </c>
      <c r="K22" s="8" t="s">
        <v>187</v>
      </c>
    </row>
    <row r="23">
      <c r="A23" s="20" t="s">
        <v>188</v>
      </c>
      <c r="B23" s="8" t="s">
        <v>189</v>
      </c>
      <c r="C23" s="8" t="s">
        <v>56</v>
      </c>
      <c r="D23" s="8" t="s">
        <v>190</v>
      </c>
      <c r="E23" s="22" t="s">
        <v>191</v>
      </c>
      <c r="F23" s="27" t="s">
        <v>59</v>
      </c>
      <c r="G23" s="22" t="s">
        <v>192</v>
      </c>
      <c r="H23" s="22" t="s">
        <v>193</v>
      </c>
      <c r="I23" s="24" t="s">
        <v>194</v>
      </c>
      <c r="J23" s="25" t="str">
        <f>HYPERLINK("https://drive.google.com/file/d/1RgNyIEu9jXFjZs2Uf00as476WbnL0MkX/view?usp=drivesdk","063_SPK - TB YANUAR ARYANDI")</f>
        <v>063_SPK - TB YANUAR ARYANDI</v>
      </c>
      <c r="K23" s="8" t="s">
        <v>195</v>
      </c>
    </row>
    <row r="24">
      <c r="A24" s="20" t="s">
        <v>196</v>
      </c>
      <c r="B24" s="8" t="s">
        <v>189</v>
      </c>
      <c r="C24" s="8" t="s">
        <v>80</v>
      </c>
      <c r="D24" s="8" t="s">
        <v>197</v>
      </c>
      <c r="E24" s="22" t="s">
        <v>198</v>
      </c>
      <c r="F24" s="27" t="s">
        <v>59</v>
      </c>
      <c r="G24" s="22" t="s">
        <v>199</v>
      </c>
      <c r="H24" s="22" t="s">
        <v>200</v>
      </c>
      <c r="I24" s="24" t="s">
        <v>201</v>
      </c>
      <c r="J24" s="25" t="str">
        <f>HYPERLINK("https://drive.google.com/file/d/1vPt9KUzs9xiT4ZyfI_6yvUj1KQvoQ1t7/view?usp=drivesdk","066_SPK - BLASFOLIE INTERNASIONAL INDONESIA")</f>
        <v>066_SPK - BLASFOLIE INTERNASIONAL INDONESIA</v>
      </c>
      <c r="K24" s="8" t="s">
        <v>202</v>
      </c>
    </row>
    <row r="25">
      <c r="A25" s="20" t="s">
        <v>203</v>
      </c>
      <c r="B25" s="8" t="s">
        <v>189</v>
      </c>
      <c r="C25" s="8" t="s">
        <v>71</v>
      </c>
      <c r="D25" s="8" t="s">
        <v>204</v>
      </c>
      <c r="E25" s="22" t="s">
        <v>205</v>
      </c>
      <c r="F25" s="28" t="s">
        <v>206</v>
      </c>
      <c r="G25" s="22" t="s">
        <v>207</v>
      </c>
      <c r="H25" s="22" t="s">
        <v>208</v>
      </c>
      <c r="I25" s="24" t="s">
        <v>209</v>
      </c>
      <c r="J25" s="25" t="str">
        <f>HYPERLINK("https://drive.google.com/file/d/1hcgycVp6kzsV_EREo3TmjEaWtYI7RbB6/view?usp=drivesdk","068_SPK - ASHRI AFIFI")</f>
        <v>068_SPK - ASHRI AFIFI</v>
      </c>
      <c r="K25" s="8" t="s">
        <v>210</v>
      </c>
    </row>
    <row r="26">
      <c r="A26" s="20" t="s">
        <v>211</v>
      </c>
      <c r="B26" s="8" t="s">
        <v>189</v>
      </c>
      <c r="C26" s="8" t="s">
        <v>71</v>
      </c>
      <c r="D26" s="8" t="s">
        <v>204</v>
      </c>
      <c r="E26" s="22" t="s">
        <v>149</v>
      </c>
      <c r="F26" s="28" t="s">
        <v>206</v>
      </c>
      <c r="G26" s="22" t="s">
        <v>151</v>
      </c>
      <c r="H26" s="22" t="s">
        <v>212</v>
      </c>
      <c r="I26" s="24" t="s">
        <v>213</v>
      </c>
      <c r="J26" s="25" t="str">
        <f>HYPERLINK("https://drive.google.com/file/d/1phQr7QjgXdA-UvDCS8_wsrJulzSVAvCl/view?usp=drivesdk","070_SPK - HERRY CHANDRA")</f>
        <v>070_SPK - HERRY CHANDRA</v>
      </c>
      <c r="K26" s="8" t="s">
        <v>214</v>
      </c>
    </row>
    <row r="27">
      <c r="A27" s="20" t="s">
        <v>215</v>
      </c>
      <c r="B27" s="8" t="s">
        <v>189</v>
      </c>
      <c r="C27" s="8" t="s">
        <v>133</v>
      </c>
      <c r="D27" s="8" t="s">
        <v>216</v>
      </c>
      <c r="E27" s="22" t="s">
        <v>217</v>
      </c>
      <c r="F27" s="28" t="s">
        <v>206</v>
      </c>
      <c r="G27" s="22" t="s">
        <v>218</v>
      </c>
      <c r="H27" s="22" t="s">
        <v>219</v>
      </c>
      <c r="I27" s="24" t="s">
        <v>220</v>
      </c>
      <c r="J27" s="25" t="str">
        <f>HYPERLINK("https://drive.google.com/file/d/10y9VkZLKJuldJRDVZK55jmTrP4Z5Il5C/view?usp=drivesdk","072_SPK - CV. INDO AROMA UTAMA")</f>
        <v>072_SPK - CV. INDO AROMA UTAMA</v>
      </c>
      <c r="K27" s="8" t="s">
        <v>214</v>
      </c>
    </row>
    <row r="28">
      <c r="A28" s="20" t="s">
        <v>221</v>
      </c>
      <c r="B28" s="8" t="s">
        <v>189</v>
      </c>
      <c r="C28" s="8" t="s">
        <v>38</v>
      </c>
      <c r="D28" s="8" t="s">
        <v>222</v>
      </c>
      <c r="E28" s="22" t="s">
        <v>223</v>
      </c>
      <c r="F28" s="27" t="s">
        <v>59</v>
      </c>
      <c r="G28" s="22" t="s">
        <v>224</v>
      </c>
      <c r="H28" s="22" t="s">
        <v>225</v>
      </c>
      <c r="I28" s="24" t="s">
        <v>226</v>
      </c>
      <c r="J28" s="25" t="str">
        <f>HYPERLINK("https://drive.google.com/file/d/1_Eb7Nsr265CSQu505YOrBb33D3lHOfon/view?usp=drivesdk","074_SPK - Malik Jabbar Herbalindo")</f>
        <v>074_SPK - Malik Jabbar Herbalindo</v>
      </c>
      <c r="K28" s="22" t="s">
        <v>214</v>
      </c>
    </row>
    <row r="29">
      <c r="A29" s="20" t="s">
        <v>227</v>
      </c>
      <c r="B29" s="8" t="s">
        <v>189</v>
      </c>
      <c r="C29" s="8" t="s">
        <v>228</v>
      </c>
      <c r="D29" s="8" t="s">
        <v>229</v>
      </c>
      <c r="E29" s="22" t="s">
        <v>230</v>
      </c>
      <c r="F29" s="21" t="s">
        <v>74</v>
      </c>
      <c r="G29" s="29" t="s">
        <v>231</v>
      </c>
      <c r="H29" s="22" t="s">
        <v>232</v>
      </c>
      <c r="I29" s="24" t="s">
        <v>233</v>
      </c>
      <c r="J29" s="25" t="str">
        <f>HYPERLINK("https://drive.google.com/file/d/137sLOKNB-ex_RxXr6jln-RboSSKAouDK/view?usp=drivesdk","076_SPK - PT. Inocrea Indonesia")</f>
        <v>076_SPK - PT. Inocrea Indonesia</v>
      </c>
      <c r="K29" s="22" t="s">
        <v>234</v>
      </c>
    </row>
    <row r="30">
      <c r="A30" s="20" t="s">
        <v>235</v>
      </c>
      <c r="B30" s="8" t="s">
        <v>189</v>
      </c>
      <c r="C30" s="8" t="s">
        <v>228</v>
      </c>
      <c r="D30" s="8" t="s">
        <v>229</v>
      </c>
      <c r="E30" s="22" t="s">
        <v>230</v>
      </c>
      <c r="F30" s="21" t="s">
        <v>74</v>
      </c>
      <c r="G30" s="29" t="s">
        <v>231</v>
      </c>
      <c r="H30" s="22" t="s">
        <v>236</v>
      </c>
      <c r="I30" s="24" t="s">
        <v>237</v>
      </c>
      <c r="J30" s="25" t="str">
        <f>HYPERLINK("https://drive.google.com/file/d/1T4XnEpZsk5aTySAXW7LuqFWuo3Z1udcO/view?usp=drivesdk","078_SPK - PT. Inocrea Indonesia")</f>
        <v>078_SPK - PT. Inocrea Indonesia</v>
      </c>
      <c r="K30" s="22" t="s">
        <v>238</v>
      </c>
    </row>
    <row r="31">
      <c r="A31" s="20" t="s">
        <v>239</v>
      </c>
      <c r="B31" s="8" t="s">
        <v>240</v>
      </c>
      <c r="C31" s="8" t="s">
        <v>228</v>
      </c>
      <c r="D31" s="20" t="s">
        <v>241</v>
      </c>
      <c r="E31" s="30" t="s">
        <v>242</v>
      </c>
      <c r="F31" s="27" t="s">
        <v>59</v>
      </c>
      <c r="G31" s="30" t="s">
        <v>243</v>
      </c>
      <c r="H31" s="22" t="s">
        <v>244</v>
      </c>
      <c r="I31" s="24" t="s">
        <v>245</v>
      </c>
      <c r="J31" s="25" t="str">
        <f>HYPERLINK("https://drive.google.com/file/d/11MBaPy7H1ZU4XdMu__evscBc8rdlY3yx/view?usp=drivesdk","081_SPK - MAJU BAHAGIA CAKUE")</f>
        <v>081_SPK - MAJU BAHAGIA CAKUE</v>
      </c>
      <c r="K31" s="22" t="s">
        <v>246</v>
      </c>
    </row>
    <row r="32">
      <c r="A32" s="20" t="s">
        <v>247</v>
      </c>
      <c r="B32" s="8" t="s">
        <v>240</v>
      </c>
      <c r="C32" s="8" t="s">
        <v>47</v>
      </c>
      <c r="D32" s="20" t="s">
        <v>248</v>
      </c>
      <c r="E32" s="8" t="s">
        <v>249</v>
      </c>
      <c r="F32" s="27" t="s">
        <v>59</v>
      </c>
      <c r="G32" s="8" t="s">
        <v>250</v>
      </c>
      <c r="H32" s="22" t="s">
        <v>251</v>
      </c>
      <c r="I32" s="24" t="s">
        <v>252</v>
      </c>
      <c r="J32" s="25" t="str">
        <f>HYPERLINK("https://drive.google.com/file/d/1EjrGCnrWJhgn8ANe0mgW9q2MNPQIboG6/view?usp=drivesdk","083_SPK - MINYAK URAPAN ANGGUR")</f>
        <v>083_SPK - MINYAK URAPAN ANGGUR</v>
      </c>
      <c r="K32" s="22" t="s">
        <v>246</v>
      </c>
    </row>
    <row r="33">
      <c r="A33" s="20" t="s">
        <v>253</v>
      </c>
      <c r="B33" s="8" t="s">
        <v>240</v>
      </c>
      <c r="C33" s="8" t="s">
        <v>56</v>
      </c>
      <c r="D33" s="31">
        <v>46119.0</v>
      </c>
      <c r="E33" s="22" t="s">
        <v>254</v>
      </c>
      <c r="F33" s="21" t="s">
        <v>74</v>
      </c>
      <c r="G33" s="22" t="s">
        <v>255</v>
      </c>
      <c r="H33" s="22" t="s">
        <v>256</v>
      </c>
      <c r="I33" s="24" t="s">
        <v>257</v>
      </c>
      <c r="J33" s="25" t="str">
        <f>HYPERLINK("https://drive.google.com/file/d/1YgRgGiBO25xUGNwjUq5Z9bi22zTb1WTG/view?usp=drivesdk","086_SPK - WINDY RALLY GIANA LESMANA")</f>
        <v>086_SPK - WINDY RALLY GIANA LESMANA</v>
      </c>
      <c r="K33" s="22" t="s">
        <v>258</v>
      </c>
    </row>
    <row r="34">
      <c r="A34" s="20" t="s">
        <v>259</v>
      </c>
      <c r="B34" s="8" t="s">
        <v>240</v>
      </c>
      <c r="C34" s="8" t="s">
        <v>133</v>
      </c>
      <c r="D34" s="32">
        <v>46128.0</v>
      </c>
      <c r="E34" s="22" t="s">
        <v>260</v>
      </c>
      <c r="F34" s="28" t="s">
        <v>206</v>
      </c>
      <c r="G34" s="22" t="s">
        <v>261</v>
      </c>
      <c r="H34" s="22" t="s">
        <v>262</v>
      </c>
      <c r="I34" s="24" t="s">
        <v>263</v>
      </c>
      <c r="J34" s="25" t="str">
        <f>HYPERLINK("https://drive.google.com/file/d/13wMFlvs3329k8YAfcXdh3Gwh34XGvtQU/view?usp=drivesdk","092_SPK - NASI GORENG PADANG BUNDO KANDUANG")</f>
        <v>092_SPK - NASI GORENG PADANG BUNDO KANDUANG</v>
      </c>
      <c r="K34" s="22" t="s">
        <v>258</v>
      </c>
    </row>
    <row r="35">
      <c r="A35" s="20" t="s">
        <v>264</v>
      </c>
      <c r="B35" s="8" t="s">
        <v>240</v>
      </c>
      <c r="C35" s="8" t="s">
        <v>133</v>
      </c>
      <c r="D35" s="32">
        <v>46128.0</v>
      </c>
      <c r="E35" s="22" t="s">
        <v>265</v>
      </c>
      <c r="F35" s="28" t="s">
        <v>206</v>
      </c>
      <c r="G35" s="22" t="s">
        <v>266</v>
      </c>
      <c r="H35" s="22" t="s">
        <v>267</v>
      </c>
      <c r="I35" s="24" t="s">
        <v>268</v>
      </c>
      <c r="J35" s="25" t="str">
        <f>HYPERLINK("https://drive.google.com/file/d/1AQxcoTDM7RNxauZqAkVF8KhgP3eNk_QB/view?usp=drivesdk","094_SPK - MINUMAN RINGAN KOMBUCHA")</f>
        <v>094_SPK - MINUMAN RINGAN KOMBUCHA</v>
      </c>
      <c r="K35" s="22" t="s">
        <v>258</v>
      </c>
    </row>
    <row r="36">
      <c r="A36" s="20" t="s">
        <v>269</v>
      </c>
      <c r="B36" s="8" t="s">
        <v>240</v>
      </c>
      <c r="C36" s="8" t="s">
        <v>270</v>
      </c>
      <c r="D36" s="32">
        <v>46128.0</v>
      </c>
      <c r="E36" s="22" t="s">
        <v>271</v>
      </c>
      <c r="F36" s="27" t="s">
        <v>272</v>
      </c>
      <c r="G36" s="22" t="s">
        <v>273</v>
      </c>
      <c r="H36" s="22" t="s">
        <v>274</v>
      </c>
      <c r="I36" s="24" t="s">
        <v>275</v>
      </c>
      <c r="J36" s="25" t="str">
        <f>HYPERLINK("https://drive.google.com/file/d/1pCjTCnnpD8445BEno_7i1mZQp9y2c8yb/view?usp=drivesdk","090_SPK - Nasi Kuning Pengambiran 57")</f>
        <v>090_SPK - Nasi Kuning Pengambiran 57</v>
      </c>
      <c r="K36" s="22" t="s">
        <v>258</v>
      </c>
    </row>
    <row r="37">
      <c r="A37" s="20" t="s">
        <v>276</v>
      </c>
      <c r="B37" s="8" t="s">
        <v>240</v>
      </c>
      <c r="C37" s="8" t="s">
        <v>133</v>
      </c>
      <c r="D37" s="32">
        <v>46128.0</v>
      </c>
      <c r="E37" s="8" t="s">
        <v>277</v>
      </c>
      <c r="F37" s="27" t="s">
        <v>272</v>
      </c>
      <c r="G37" s="22" t="s">
        <v>278</v>
      </c>
      <c r="H37" s="22" t="s">
        <v>279</v>
      </c>
      <c r="I37" s="24" t="s">
        <v>280</v>
      </c>
      <c r="J37" s="25" t="str">
        <f>HYPERLINK("https://drive.google.com/file/d/10udrWeeI02aBiLcC7Q-E43-qAfMdYJdU/view?usp=drivesdk","088_SPK - MINANG MURT")</f>
        <v>088_SPK - MINANG MURT</v>
      </c>
      <c r="K37" s="22" t="s">
        <v>258</v>
      </c>
    </row>
    <row r="38">
      <c r="A38" s="20" t="s">
        <v>281</v>
      </c>
      <c r="B38" s="8" t="s">
        <v>240</v>
      </c>
      <c r="C38" s="8" t="s">
        <v>270</v>
      </c>
      <c r="D38" s="32">
        <v>46128.0</v>
      </c>
      <c r="E38" s="22" t="s">
        <v>282</v>
      </c>
      <c r="F38" s="27" t="s">
        <v>59</v>
      </c>
      <c r="G38" s="22" t="s">
        <v>283</v>
      </c>
      <c r="H38" s="22" t="s">
        <v>284</v>
      </c>
      <c r="I38" s="24" t="s">
        <v>285</v>
      </c>
      <c r="J38" s="25" t="str">
        <f>HYPERLINK("https://drive.google.com/file/d/1fi-O46f-evjBqfO297BfBa2aluoSipec/view?usp=drivesdk","100_SPK - PAON-KOE")</f>
        <v>100_SPK - PAON-KOE</v>
      </c>
      <c r="K38" s="22" t="s">
        <v>286</v>
      </c>
    </row>
    <row r="39">
      <c r="A39" s="20" t="s">
        <v>287</v>
      </c>
      <c r="B39" s="8" t="s">
        <v>240</v>
      </c>
      <c r="C39" s="8" t="s">
        <v>133</v>
      </c>
      <c r="D39" s="32">
        <v>46128.0</v>
      </c>
      <c r="E39" s="22" t="s">
        <v>288</v>
      </c>
      <c r="F39" s="27" t="s">
        <v>59</v>
      </c>
      <c r="G39" s="22" t="s">
        <v>289</v>
      </c>
      <c r="H39" s="22" t="s">
        <v>290</v>
      </c>
      <c r="I39" s="24" t="s">
        <v>291</v>
      </c>
      <c r="J39" s="25" t="str">
        <f>HYPERLINK("https://drive.google.com/file/d/1i0eqD7NSGOJ13NC7ILPHhJnjXT_hvmI0/view?usp=drivesdk","101_SPK - Bakemood Bakehouse")</f>
        <v>101_SPK - Bakemood Bakehouse</v>
      </c>
      <c r="K39" s="22" t="s">
        <v>286</v>
      </c>
    </row>
    <row r="40">
      <c r="A40" s="20" t="s">
        <v>292</v>
      </c>
      <c r="B40" s="8" t="s">
        <v>240</v>
      </c>
      <c r="C40" s="8" t="s">
        <v>133</v>
      </c>
      <c r="D40" s="32">
        <v>46128.0</v>
      </c>
      <c r="E40" s="22" t="s">
        <v>293</v>
      </c>
      <c r="F40" s="27" t="s">
        <v>294</v>
      </c>
      <c r="G40" s="22" t="s">
        <v>295</v>
      </c>
      <c r="H40" s="22" t="s">
        <v>296</v>
      </c>
      <c r="I40" s="24" t="s">
        <v>297</v>
      </c>
      <c r="J40" s="25" t="str">
        <f>HYPERLINK("https://drive.google.com/file/d/13d8BvIGVism0PGc1IOHf5H6WSXjr3LIO/view?usp=drivesdk","096_SPK - FAUZIAH S.")</f>
        <v>096_SPK - FAUZIAH S.</v>
      </c>
      <c r="K40" s="22" t="s">
        <v>298</v>
      </c>
    </row>
    <row r="41">
      <c r="A41" s="20" t="s">
        <v>299</v>
      </c>
      <c r="B41" s="8" t="s">
        <v>240</v>
      </c>
      <c r="C41" s="8" t="s">
        <v>181</v>
      </c>
      <c r="D41" s="32">
        <v>46129.0</v>
      </c>
      <c r="E41" s="22" t="s">
        <v>300</v>
      </c>
      <c r="F41" s="27" t="s">
        <v>301</v>
      </c>
      <c r="G41" s="22" t="s">
        <v>302</v>
      </c>
      <c r="H41" s="22" t="s">
        <v>303</v>
      </c>
      <c r="I41" s="24" t="s">
        <v>304</v>
      </c>
      <c r="J41" s="25" t="str">
        <f>HYPERLINK("https://drive.google.com/file/d/1sELlbEILeNgxmSU9xyHGkzRrIjckLiqz/view?usp=drivesdk","104_SPK - Yayasan Sinergi Langkah Kemakmuran")</f>
        <v>104_SPK - Yayasan Sinergi Langkah Kemakmuran</v>
      </c>
      <c r="K41" s="22" t="s">
        <v>305</v>
      </c>
    </row>
    <row r="42">
      <c r="A42" s="20" t="s">
        <v>306</v>
      </c>
      <c r="B42" s="8" t="s">
        <v>240</v>
      </c>
      <c r="C42" s="8" t="s">
        <v>181</v>
      </c>
      <c r="D42" s="32">
        <v>46129.0</v>
      </c>
      <c r="E42" s="22" t="s">
        <v>307</v>
      </c>
      <c r="F42" s="27" t="s">
        <v>301</v>
      </c>
      <c r="G42" s="22" t="s">
        <v>308</v>
      </c>
      <c r="H42" s="22" t="s">
        <v>309</v>
      </c>
      <c r="I42" s="24" t="s">
        <v>310</v>
      </c>
      <c r="J42" s="25" t="str">
        <f>HYPERLINK("https://drive.google.com/file/d/1z_pmC7x76p6AkIXibyCNKM6L45P_0kCu/view?usp=drivesdk","105_SPK - Tanti Sopiah")</f>
        <v>105_SPK - Tanti Sopiah</v>
      </c>
      <c r="K42" s="22" t="s">
        <v>305</v>
      </c>
    </row>
    <row r="43">
      <c r="A43" s="20" t="s">
        <v>311</v>
      </c>
      <c r="B43" s="8" t="s">
        <v>240</v>
      </c>
      <c r="C43" s="8" t="s">
        <v>181</v>
      </c>
      <c r="D43" s="32">
        <v>46129.0</v>
      </c>
      <c r="E43" s="22" t="s">
        <v>312</v>
      </c>
      <c r="F43" s="21" t="s">
        <v>74</v>
      </c>
      <c r="G43" s="22" t="s">
        <v>313</v>
      </c>
      <c r="H43" s="22" t="s">
        <v>314</v>
      </c>
      <c r="I43" s="24" t="s">
        <v>315</v>
      </c>
      <c r="J43" s="25" t="str">
        <f>HYPERLINK("https://drive.google.com/file/d/12t8nNdKx5Wc6tEi7F7hy18kpqw5JN1mn/view?usp=drivesdk","107_SPK - DIMSUM WON")</f>
        <v>107_SPK - DIMSUM WON</v>
      </c>
      <c r="K43" s="22" t="s">
        <v>305</v>
      </c>
    </row>
    <row r="44">
      <c r="A44" s="20" t="s">
        <v>316</v>
      </c>
      <c r="B44" s="8" t="s">
        <v>240</v>
      </c>
      <c r="C44" s="8" t="s">
        <v>181</v>
      </c>
      <c r="D44" s="32">
        <v>46129.0</v>
      </c>
      <c r="E44" s="8" t="s">
        <v>317</v>
      </c>
      <c r="F44" s="21" t="s">
        <v>74</v>
      </c>
      <c r="G44" s="22" t="s">
        <v>318</v>
      </c>
      <c r="H44" s="22" t="s">
        <v>319</v>
      </c>
      <c r="I44" s="33" t="s">
        <v>320</v>
      </c>
      <c r="J44" s="25" t="str">
        <f>HYPERLINK("https://drive.google.com/file/d/1QKItw_PdkBqEbrB3lly1jp_xUQNKjhyu/view?usp=drivesdk","109_SPK - PT DOMIKOS INDONESIA")</f>
        <v>109_SPK - PT DOMIKOS INDONESIA</v>
      </c>
      <c r="K44" s="22" t="s">
        <v>305</v>
      </c>
    </row>
    <row r="45">
      <c r="A45" s="20" t="s">
        <v>321</v>
      </c>
      <c r="B45" s="8" t="s">
        <v>240</v>
      </c>
      <c r="C45" s="8" t="s">
        <v>181</v>
      </c>
      <c r="D45" s="32">
        <v>46129.0</v>
      </c>
      <c r="E45" s="22" t="s">
        <v>322</v>
      </c>
      <c r="F45" s="27" t="s">
        <v>59</v>
      </c>
      <c r="G45" s="22" t="s">
        <v>323</v>
      </c>
      <c r="H45" s="22" t="s">
        <v>324</v>
      </c>
      <c r="I45" s="24" t="s">
        <v>325</v>
      </c>
      <c r="J45" s="25" t="str">
        <f>HYPERLINK("https://drive.google.com/file/d/1nL9PqYwDzNY100YymL3Z-WadPmdUwEh6/view?usp=drivesdk","114_SPK - AURORA REMPAH NUSANTARA")</f>
        <v>114_SPK - AURORA REMPAH NUSANTARA</v>
      </c>
      <c r="K45" s="22" t="s">
        <v>326</v>
      </c>
    </row>
    <row r="46">
      <c r="A46" s="20" t="s">
        <v>327</v>
      </c>
      <c r="B46" s="8" t="s">
        <v>240</v>
      </c>
      <c r="C46" s="8" t="s">
        <v>38</v>
      </c>
      <c r="D46" s="32">
        <v>46132.0</v>
      </c>
      <c r="E46" s="22" t="s">
        <v>328</v>
      </c>
      <c r="F46" s="27" t="s">
        <v>59</v>
      </c>
      <c r="G46" s="34" t="s">
        <v>329</v>
      </c>
      <c r="H46" s="22" t="s">
        <v>330</v>
      </c>
      <c r="I46" s="24" t="s">
        <v>331</v>
      </c>
      <c r="J46" s="25" t="str">
        <f>HYPERLINK("https://drive.google.com/file/d/1wOlyKez7EFbavrHGDNo6O6M8sV8a6uCo/view?usp=drivesdk","116_SPK - ANUGERAH KENYANG BERSAMA")</f>
        <v>116_SPK - ANUGERAH KENYANG BERSAMA</v>
      </c>
      <c r="K46" s="22" t="s">
        <v>332</v>
      </c>
    </row>
    <row r="47">
      <c r="A47" s="20" t="s">
        <v>333</v>
      </c>
      <c r="B47" s="8" t="s">
        <v>240</v>
      </c>
      <c r="C47" s="8" t="s">
        <v>38</v>
      </c>
      <c r="D47" s="32">
        <v>46132.0</v>
      </c>
      <c r="E47" s="22" t="s">
        <v>334</v>
      </c>
      <c r="F47" s="27" t="s">
        <v>59</v>
      </c>
      <c r="G47" s="8" t="s">
        <v>335</v>
      </c>
      <c r="H47" s="22" t="s">
        <v>336</v>
      </c>
      <c r="I47" s="24" t="s">
        <v>337</v>
      </c>
      <c r="J47" s="25" t="str">
        <f>HYPERLINK("https://drive.google.com/file/d/11LkAza_A2nLQhj4z6NtpdBIy5da5-n-_/view?usp=drivesdk","118_SPK - NADYA AISSYAH MAHARINI")</f>
        <v>118_SPK - NADYA AISSYAH MAHARINI</v>
      </c>
      <c r="K47" s="22" t="s">
        <v>332</v>
      </c>
    </row>
    <row r="48">
      <c r="A48" s="20" t="s">
        <v>338</v>
      </c>
      <c r="B48" s="8" t="s">
        <v>240</v>
      </c>
      <c r="C48" s="8" t="s">
        <v>133</v>
      </c>
      <c r="D48" s="32">
        <v>46135.0</v>
      </c>
      <c r="E48" s="35" t="s">
        <v>339</v>
      </c>
      <c r="F48" s="28" t="s">
        <v>206</v>
      </c>
      <c r="G48" s="22" t="s">
        <v>340</v>
      </c>
      <c r="H48" s="22" t="s">
        <v>341</v>
      </c>
      <c r="I48" s="24" t="s">
        <v>342</v>
      </c>
      <c r="J48" s="25" t="str">
        <f>HYPERLINK("https://drive.google.com/file/d/1xo-UQTKNApWwae4yccHaRN0h9_JdwPNi/view?usp=drivesdk","120_SPK - MARINO PEDULI INDONESIA")</f>
        <v>120_SPK - MARINO PEDULI INDONESIA</v>
      </c>
      <c r="K48" s="22" t="s">
        <v>343</v>
      </c>
    </row>
    <row r="49">
      <c r="A49" s="20" t="s">
        <v>344</v>
      </c>
      <c r="B49" s="8" t="s">
        <v>240</v>
      </c>
      <c r="C49" s="8" t="s">
        <v>181</v>
      </c>
      <c r="D49" s="32">
        <v>46136.0</v>
      </c>
      <c r="E49" s="35" t="s">
        <v>345</v>
      </c>
      <c r="F49" s="28" t="s">
        <v>206</v>
      </c>
      <c r="G49" s="22" t="s">
        <v>346</v>
      </c>
      <c r="H49" s="22" t="s">
        <v>347</v>
      </c>
      <c r="I49" s="24" t="s">
        <v>348</v>
      </c>
      <c r="J49" s="25" t="str">
        <f>HYPERLINK("https://drive.google.com/file/d/1iVTJTVgOYn4eC9LvOKhXDp654pKQmk1M/view?usp=drivesdk","122_SPK - SOLIHAT FITRIA")</f>
        <v>122_SPK - SOLIHAT FITRIA</v>
      </c>
      <c r="K49" s="22" t="s">
        <v>343</v>
      </c>
    </row>
    <row r="50">
      <c r="A50" s="8">
        <v>128.0</v>
      </c>
      <c r="B50" s="8" t="s">
        <v>349</v>
      </c>
      <c r="C50" s="8" t="s">
        <v>181</v>
      </c>
      <c r="D50" s="36" t="s">
        <v>350</v>
      </c>
      <c r="E50" s="37" t="s">
        <v>351</v>
      </c>
      <c r="F50" s="27" t="s">
        <v>59</v>
      </c>
      <c r="G50" s="22" t="s">
        <v>352</v>
      </c>
      <c r="H50" s="22" t="s">
        <v>353</v>
      </c>
      <c r="I50" s="24" t="s">
        <v>354</v>
      </c>
      <c r="J50" s="25" t="str">
        <f>HYPERLINK("https://drive.google.com/file/d/12qh_QxqJmuo3jH6MbijFbhxvigVWhjuq/view?usp=drivesdk","128_SPK - IQBAL MUBAROK")</f>
        <v>128_SPK - IQBAL MUBAROK</v>
      </c>
      <c r="K50" s="22" t="s">
        <v>355</v>
      </c>
    </row>
    <row r="51">
      <c r="A51" s="8">
        <v>129.0</v>
      </c>
      <c r="B51" s="8" t="s">
        <v>349</v>
      </c>
      <c r="C51" s="8" t="s">
        <v>181</v>
      </c>
      <c r="D51" s="36" t="s">
        <v>350</v>
      </c>
      <c r="E51" s="37" t="s">
        <v>356</v>
      </c>
      <c r="F51" s="27" t="s">
        <v>59</v>
      </c>
      <c r="G51" s="22" t="s">
        <v>357</v>
      </c>
      <c r="H51" s="22" t="s">
        <v>358</v>
      </c>
      <c r="I51" s="24" t="s">
        <v>359</v>
      </c>
      <c r="J51" s="25" t="str">
        <f>HYPERLINK("https://drive.google.com/file/d/1i9IWg58cRAHLh_zQdNHUeve4FdalRyC0/view?usp=drivesdk","129_SPK - USWATUN KHASANAH")</f>
        <v>129_SPK - USWATUN KHASANAH</v>
      </c>
      <c r="K51" s="22" t="s">
        <v>360</v>
      </c>
    </row>
    <row r="52">
      <c r="A52" s="8">
        <v>135.0</v>
      </c>
      <c r="B52" s="8" t="s">
        <v>349</v>
      </c>
      <c r="C52" s="8" t="s">
        <v>56</v>
      </c>
      <c r="D52" s="8" t="s">
        <v>361</v>
      </c>
      <c r="E52" s="8" t="s">
        <v>362</v>
      </c>
      <c r="F52" s="38" t="s">
        <v>363</v>
      </c>
      <c r="G52" s="8" t="s">
        <v>364</v>
      </c>
      <c r="H52" s="22" t="s">
        <v>365</v>
      </c>
      <c r="I52" s="24" t="s">
        <v>366</v>
      </c>
      <c r="J52" s="25" t="str">
        <f>HYPERLINK("https://drive.google.com/file/d/1FZgBxCxj-p6CYsv5ARqnUA1U89KpYD1A/view?usp=drivesdk","135_SPK - SPPG KALISARI")</f>
        <v>135_SPK - SPPG KALISARI</v>
      </c>
      <c r="K52" s="22" t="s">
        <v>367</v>
      </c>
    </row>
    <row r="53">
      <c r="A53" s="20" t="s">
        <v>368</v>
      </c>
      <c r="B53" s="8" t="s">
        <v>349</v>
      </c>
      <c r="C53" s="8" t="s">
        <v>270</v>
      </c>
      <c r="D53" s="20" t="s">
        <v>369</v>
      </c>
      <c r="E53" s="39" t="s">
        <v>370</v>
      </c>
      <c r="F53" s="27" t="s">
        <v>272</v>
      </c>
      <c r="G53" s="22" t="s">
        <v>371</v>
      </c>
      <c r="H53" s="22" t="s">
        <v>372</v>
      </c>
      <c r="I53" s="24" t="s">
        <v>373</v>
      </c>
      <c r="J53" s="25" t="str">
        <f>HYPERLINK("https://drive.google.com/file/d/1nd1Sls38aAEHY9fzYtCf_KujfC-MNv8C/view?usp=drivesdk","131_SPK - PT. ACCELIST PANGAN NUSANTARA")</f>
        <v>131_SPK - PT. ACCELIST PANGAN NUSANTARA</v>
      </c>
      <c r="K53" s="22" t="s">
        <v>374</v>
      </c>
    </row>
    <row r="54">
      <c r="A54" s="40">
        <v>137.0</v>
      </c>
      <c r="B54" s="8" t="s">
        <v>349</v>
      </c>
      <c r="C54" s="8" t="s">
        <v>270</v>
      </c>
      <c r="D54" s="20" t="s">
        <v>369</v>
      </c>
      <c r="E54" s="8" t="s">
        <v>375</v>
      </c>
      <c r="F54" s="27" t="s">
        <v>59</v>
      </c>
      <c r="G54" s="40" t="s">
        <v>376</v>
      </c>
      <c r="H54" s="22" t="s">
        <v>377</v>
      </c>
      <c r="I54" s="24" t="s">
        <v>378</v>
      </c>
      <c r="J54" s="25" t="str">
        <f>HYPERLINK("https://drive.google.com/file/d/1O2VDO6OH6VzmRwmk6GvcnBq3ZvDyFY-k/view?usp=drivesdk","137_SPK - SPPG BOGOR CIAWI JAMBULUWUK 2")</f>
        <v>137_SPK - SPPG BOGOR CIAWI JAMBULUWUK 2</v>
      </c>
      <c r="K54" s="22" t="s">
        <v>379</v>
      </c>
    </row>
    <row r="55">
      <c r="A55" s="40">
        <v>138.0</v>
      </c>
      <c r="B55" s="8" t="s">
        <v>349</v>
      </c>
      <c r="C55" s="8" t="s">
        <v>270</v>
      </c>
      <c r="D55" s="20" t="s">
        <v>369</v>
      </c>
      <c r="E55" s="22" t="s">
        <v>380</v>
      </c>
      <c r="F55" s="27" t="s">
        <v>59</v>
      </c>
      <c r="G55" s="40" t="s">
        <v>381</v>
      </c>
      <c r="H55" s="22" t="s">
        <v>382</v>
      </c>
      <c r="I55" s="24" t="s">
        <v>383</v>
      </c>
      <c r="J55" s="25" t="str">
        <f>HYPERLINK("https://drive.google.com/file/d/1-Bw_4oziQ9ciWw8_M32KF7ZWPMy4Z-03/view?usp=drivesdk","138_SPK - SPPG BOGOR CIGOMBONG TUGUJAYA")</f>
        <v>138_SPK - SPPG BOGOR CIGOMBONG TUGUJAYA</v>
      </c>
      <c r="K55" s="22" t="s">
        <v>379</v>
      </c>
    </row>
    <row r="56">
      <c r="A56" s="8">
        <v>146.0</v>
      </c>
      <c r="B56" s="8" t="s">
        <v>349</v>
      </c>
      <c r="C56" s="8" t="s">
        <v>181</v>
      </c>
      <c r="D56" s="8" t="s">
        <v>384</v>
      </c>
      <c r="E56" s="23" t="s">
        <v>385</v>
      </c>
      <c r="F56" s="28" t="s">
        <v>206</v>
      </c>
      <c r="G56" s="23" t="s">
        <v>386</v>
      </c>
      <c r="H56" s="22" t="s">
        <v>387</v>
      </c>
      <c r="I56" s="24" t="s">
        <v>388</v>
      </c>
      <c r="J56" s="25" t="str">
        <f>HYPERLINK("https://drive.google.com/file/d/1FwB-aNee-Jk7cJkCrHiG5TW4R4-zYCQQ/view?usp=drivesdk","146_SPK - POLI CONTINDO NUSA")</f>
        <v>146_SPK - POLI CONTINDO NUSA</v>
      </c>
      <c r="K56" s="22" t="s">
        <v>389</v>
      </c>
    </row>
    <row r="57">
      <c r="A57" s="8">
        <v>148.0</v>
      </c>
      <c r="B57" s="8" t="s">
        <v>349</v>
      </c>
      <c r="C57" s="8" t="s">
        <v>181</v>
      </c>
      <c r="D57" s="8" t="s">
        <v>384</v>
      </c>
      <c r="E57" s="41" t="s">
        <v>390</v>
      </c>
      <c r="F57" s="27" t="s">
        <v>301</v>
      </c>
      <c r="G57" s="30" t="s">
        <v>391</v>
      </c>
      <c r="H57" s="22" t="s">
        <v>392</v>
      </c>
      <c r="I57" s="24" t="s">
        <v>393</v>
      </c>
      <c r="J57" s="25" t="str">
        <f>HYPERLINK("https://drive.google.com/file/d/1KnDVFPPRcK4zqBy5yfR3a7UaSbziiunz/view?usp=drivesdk","148_SPK - RISALAH RIZKIA WISATA")</f>
        <v>148_SPK - RISALAH RIZKIA WISATA</v>
      </c>
      <c r="K57" s="22" t="s">
        <v>394</v>
      </c>
    </row>
  </sheetData>
  <hyperlinks>
    <hyperlink r:id="rId1" ref="I2"/>
    <hyperlink r:id="rId2" ref="F3"/>
    <hyperlink r:id="rId3" ref="I3"/>
    <hyperlink r:id="rId4" ref="I4"/>
    <hyperlink r:id="rId5" ref="I5"/>
    <hyperlink r:id="rId6" ref="I6"/>
    <hyperlink r:id="rId7" ref="I7"/>
    <hyperlink r:id="rId8" ref="I8"/>
    <hyperlink r:id="rId9" ref="I9"/>
    <hyperlink r:id="rId10" ref="I10"/>
    <hyperlink r:id="rId11" ref="I11"/>
    <hyperlink r:id="rId12" ref="I12"/>
    <hyperlink r:id="rId13" ref="I13"/>
    <hyperlink r:id="rId14" ref="I14"/>
    <hyperlink r:id="rId15" ref="I15"/>
    <hyperlink r:id="rId16" ref="I16"/>
    <hyperlink r:id="rId17" ref="I17"/>
    <hyperlink r:id="rId18" ref="I18"/>
    <hyperlink r:id="rId19" ref="I19"/>
    <hyperlink r:id="rId20" ref="I20"/>
    <hyperlink r:id="rId21" ref="I21"/>
    <hyperlink r:id="rId22" ref="I22"/>
    <hyperlink r:id="rId23" ref="I23"/>
    <hyperlink r:id="rId24" ref="I24"/>
    <hyperlink r:id="rId25" ref="I25"/>
    <hyperlink r:id="rId26" ref="I26"/>
    <hyperlink r:id="rId27" ref="I27"/>
    <hyperlink r:id="rId28" ref="I28"/>
    <hyperlink r:id="rId29" ref="I29"/>
    <hyperlink r:id="rId30" ref="I30"/>
    <hyperlink r:id="rId31" ref="I31"/>
    <hyperlink r:id="rId32" ref="I32"/>
    <hyperlink r:id="rId33" ref="I33"/>
    <hyperlink r:id="rId34" ref="I34"/>
    <hyperlink r:id="rId35" ref="I35"/>
    <hyperlink r:id="rId36" ref="I36"/>
    <hyperlink r:id="rId37" ref="I37"/>
    <hyperlink r:id="rId38" ref="I38"/>
    <hyperlink r:id="rId39" ref="I39"/>
    <hyperlink r:id="rId40" ref="I40"/>
    <hyperlink r:id="rId41" ref="I41"/>
    <hyperlink r:id="rId42" ref="I42"/>
    <hyperlink r:id="rId43" ref="I43"/>
    <hyperlink r:id="rId44" ref="I44"/>
    <hyperlink r:id="rId45" ref="I45"/>
    <hyperlink r:id="rId46" ref="I46"/>
    <hyperlink r:id="rId47" ref="I47"/>
    <hyperlink r:id="rId48" ref="I48"/>
    <hyperlink r:id="rId49" ref="I49"/>
    <hyperlink r:id="rId50" ref="I50"/>
    <hyperlink r:id="rId51" ref="I51"/>
    <hyperlink r:id="rId52" ref="I52"/>
    <hyperlink r:id="rId53" ref="I53"/>
    <hyperlink r:id="rId54" ref="I54"/>
    <hyperlink r:id="rId55" ref="I55"/>
    <hyperlink r:id="rId56" ref="I56"/>
    <hyperlink r:id="rId57" ref="I57"/>
  </hyperlinks>
  <drawing r:id="rId58"/>
  <tableParts count="2">
    <tablePart r:id="rId61"/>
    <tablePart r:id="rId6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5.25"/>
    <col customWidth="1" min="7" max="7" width="17.25"/>
    <col customWidth="1" min="14" max="17" width="18.88"/>
  </cols>
  <sheetData>
    <row r="1">
      <c r="A1" s="16" t="s">
        <v>26</v>
      </c>
      <c r="B1" s="42" t="s">
        <v>27</v>
      </c>
      <c r="C1" s="42" t="s">
        <v>395</v>
      </c>
      <c r="D1" s="42" t="s">
        <v>396</v>
      </c>
      <c r="E1" s="42" t="s">
        <v>397</v>
      </c>
      <c r="F1" s="42" t="s">
        <v>398</v>
      </c>
      <c r="G1" s="42" t="s">
        <v>5</v>
      </c>
      <c r="H1" s="42" t="s">
        <v>399</v>
      </c>
      <c r="I1" s="42" t="s">
        <v>400</v>
      </c>
      <c r="J1" s="42" t="s">
        <v>401</v>
      </c>
      <c r="K1" s="42" t="s">
        <v>402</v>
      </c>
      <c r="L1" s="42" t="s">
        <v>7</v>
      </c>
      <c r="M1" s="42" t="s">
        <v>403</v>
      </c>
      <c r="N1" s="43" t="s">
        <v>404</v>
      </c>
      <c r="O1" s="43" t="s">
        <v>405</v>
      </c>
      <c r="P1" s="43" t="s">
        <v>406</v>
      </c>
      <c r="Q1" s="43" t="s">
        <v>407</v>
      </c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408</v>
      </c>
      <c r="B2" s="16" t="s">
        <v>37</v>
      </c>
      <c r="C2" s="30" t="s">
        <v>206</v>
      </c>
      <c r="D2" s="44" t="s">
        <v>31</v>
      </c>
      <c r="E2" s="44" t="s">
        <v>409</v>
      </c>
      <c r="F2" s="30" t="s">
        <v>410</v>
      </c>
      <c r="G2" s="44" t="s">
        <v>411</v>
      </c>
      <c r="H2" s="44" t="s">
        <v>42</v>
      </c>
      <c r="I2" s="44" t="s">
        <v>40</v>
      </c>
      <c r="J2" s="44" t="s">
        <v>412</v>
      </c>
      <c r="K2" s="44" t="s">
        <v>413</v>
      </c>
      <c r="L2" s="45" t="s">
        <v>414</v>
      </c>
      <c r="M2" s="46" t="s">
        <v>415</v>
      </c>
      <c r="N2" s="45" t="s">
        <v>416</v>
      </c>
      <c r="O2" s="47" t="s">
        <v>417</v>
      </c>
      <c r="P2" s="48" t="str">
        <f>HYPERLINK("https://drive.google.com/file/d/1ZFUcf6p0DgVOsfOM7cW-dM7Iade-xfDW/view?usp=drivesdk","001_Surat Tugas - ABDI BANGSA CIANJUR")</f>
        <v>001_Surat Tugas - ABDI BANGSA CIANJUR</v>
      </c>
      <c r="Q2" s="45" t="s">
        <v>418</v>
      </c>
    </row>
    <row r="3">
      <c r="A3" s="20" t="s">
        <v>419</v>
      </c>
      <c r="B3" s="8" t="s">
        <v>37</v>
      </c>
      <c r="C3" s="27" t="s">
        <v>74</v>
      </c>
      <c r="D3" s="30" t="s">
        <v>420</v>
      </c>
      <c r="E3" s="49" t="s">
        <v>421</v>
      </c>
      <c r="F3" s="30" t="s">
        <v>31</v>
      </c>
      <c r="G3" s="8" t="s">
        <v>51</v>
      </c>
      <c r="H3" s="8" t="s">
        <v>51</v>
      </c>
      <c r="I3" s="8" t="s">
        <v>49</v>
      </c>
      <c r="J3" s="44" t="s">
        <v>412</v>
      </c>
      <c r="K3" s="30" t="s">
        <v>422</v>
      </c>
      <c r="L3" s="45" t="s">
        <v>48</v>
      </c>
      <c r="M3" s="45" t="s">
        <v>423</v>
      </c>
      <c r="N3" s="45" t="s">
        <v>424</v>
      </c>
      <c r="O3" s="47" t="s">
        <v>425</v>
      </c>
      <c r="P3" s="48" t="str">
        <f>HYPERLINK("https://drive.google.com/file/d/1KMrRNa_ycmsWkJAcCkLu4RZQHPh2pJQt/view?usp=drivesdk","003_Surat Tugas - AYAM GORENG HAPPY")</f>
        <v>003_Surat Tugas - AYAM GORENG HAPPY</v>
      </c>
      <c r="Q3" s="45" t="s">
        <v>426</v>
      </c>
    </row>
    <row r="4">
      <c r="A4" s="20" t="s">
        <v>427</v>
      </c>
      <c r="B4" s="8" t="s">
        <v>37</v>
      </c>
      <c r="C4" s="27" t="s">
        <v>59</v>
      </c>
      <c r="D4" s="30" t="s">
        <v>420</v>
      </c>
      <c r="E4" s="27" t="s">
        <v>301</v>
      </c>
      <c r="F4" s="30" t="s">
        <v>31</v>
      </c>
      <c r="G4" s="22" t="s">
        <v>60</v>
      </c>
      <c r="H4" s="22" t="s">
        <v>428</v>
      </c>
      <c r="I4" s="22" t="s">
        <v>429</v>
      </c>
      <c r="J4" s="44" t="s">
        <v>412</v>
      </c>
      <c r="K4" s="30" t="s">
        <v>430</v>
      </c>
      <c r="L4" s="45" t="s">
        <v>57</v>
      </c>
      <c r="M4" s="45" t="s">
        <v>423</v>
      </c>
      <c r="N4" s="45" t="s">
        <v>431</v>
      </c>
      <c r="O4" s="47" t="s">
        <v>432</v>
      </c>
      <c r="P4" s="48" t="str">
        <f>HYPERLINK("https://drive.google.com/file/d/1bNtn-QSUAw5p5SbyWezC8LTmOc8u--_6/view?usp=drivesdk","005_Surat Tugas - WILLIEM")</f>
        <v>005_Surat Tugas - WILLIEM</v>
      </c>
      <c r="Q4" s="45" t="s">
        <v>433</v>
      </c>
    </row>
    <row r="5">
      <c r="A5" s="20" t="s">
        <v>434</v>
      </c>
      <c r="B5" s="8" t="s">
        <v>37</v>
      </c>
      <c r="C5" s="27" t="s">
        <v>59</v>
      </c>
      <c r="D5" s="30" t="s">
        <v>420</v>
      </c>
      <c r="E5" s="27" t="s">
        <v>301</v>
      </c>
      <c r="F5" s="30" t="s">
        <v>31</v>
      </c>
      <c r="G5" s="22" t="s">
        <v>66</v>
      </c>
      <c r="H5" s="22" t="s">
        <v>435</v>
      </c>
      <c r="I5" s="22" t="s">
        <v>65</v>
      </c>
      <c r="J5" s="44" t="s">
        <v>412</v>
      </c>
      <c r="K5" s="30" t="s">
        <v>436</v>
      </c>
      <c r="L5" s="45" t="s">
        <v>57</v>
      </c>
      <c r="M5" s="45" t="s">
        <v>423</v>
      </c>
      <c r="N5" s="45" t="s">
        <v>437</v>
      </c>
      <c r="O5" s="47" t="s">
        <v>438</v>
      </c>
      <c r="P5" s="48" t="str">
        <f>HYPERLINK("https://drive.google.com/file/d/18mbQJ34IgPjyPTYprHIBlBZBK_lIETZZ/view?usp=drivesdk","007_Surat Tugas - HJ MARDIAH DAN HJ CHALIMAH")</f>
        <v>007_Surat Tugas - HJ MARDIAH DAN HJ CHALIMAH</v>
      </c>
      <c r="Q5" s="45" t="s">
        <v>439</v>
      </c>
    </row>
    <row r="6">
      <c r="A6" s="20" t="s">
        <v>440</v>
      </c>
      <c r="B6" s="8" t="s">
        <v>37</v>
      </c>
      <c r="C6" s="30" t="s">
        <v>206</v>
      </c>
      <c r="D6" s="30" t="s">
        <v>420</v>
      </c>
      <c r="E6" s="27" t="s">
        <v>301</v>
      </c>
      <c r="F6" s="30" t="s">
        <v>31</v>
      </c>
      <c r="G6" s="22" t="s">
        <v>84</v>
      </c>
      <c r="H6" s="22" t="s">
        <v>441</v>
      </c>
      <c r="I6" s="22" t="s">
        <v>82</v>
      </c>
      <c r="J6" s="44" t="s">
        <v>412</v>
      </c>
      <c r="K6" s="30" t="s">
        <v>442</v>
      </c>
      <c r="L6" s="45" t="s">
        <v>81</v>
      </c>
      <c r="M6" s="45" t="s">
        <v>443</v>
      </c>
      <c r="N6" s="45" t="s">
        <v>444</v>
      </c>
      <c r="O6" s="47" t="s">
        <v>445</v>
      </c>
      <c r="P6" s="48" t="str">
        <f>HYPERLINK("https://drive.google.com/file/d/1Kqn4wUTTgnQk6aBtPcgSb4mTNU2qPqud/view?usp=drivesdk","011_Surat Tugas - Ati Herawati")</f>
        <v>011_Surat Tugas - Ati Herawati</v>
      </c>
      <c r="Q6" s="45" t="s">
        <v>446</v>
      </c>
    </row>
    <row r="7">
      <c r="A7" s="20" t="s">
        <v>447</v>
      </c>
      <c r="B7" s="16" t="s">
        <v>37</v>
      </c>
      <c r="C7" s="30" t="s">
        <v>206</v>
      </c>
      <c r="D7" s="44" t="s">
        <v>420</v>
      </c>
      <c r="E7" s="44" t="s">
        <v>301</v>
      </c>
      <c r="F7" s="44" t="s">
        <v>31</v>
      </c>
      <c r="G7" s="22" t="s">
        <v>91</v>
      </c>
      <c r="H7" s="22" t="s">
        <v>448</v>
      </c>
      <c r="I7" s="22" t="s">
        <v>89</v>
      </c>
      <c r="J7" s="44" t="s">
        <v>412</v>
      </c>
      <c r="K7" s="30" t="s">
        <v>442</v>
      </c>
      <c r="L7" s="45" t="s">
        <v>81</v>
      </c>
      <c r="M7" s="45" t="s">
        <v>443</v>
      </c>
      <c r="N7" s="45" t="s">
        <v>449</v>
      </c>
      <c r="O7" s="47" t="s">
        <v>450</v>
      </c>
      <c r="P7" s="48" t="str">
        <f>HYPERLINK("https://drive.google.com/file/d/1TWSJFmVvGJ0HenweklyZ1UNOsm_k9Rni/view?usp=drivesdk","013_Surat Tugas - Yovita Kristi Handayani")</f>
        <v>013_Surat Tugas - Yovita Kristi Handayani</v>
      </c>
      <c r="Q7" s="45" t="s">
        <v>446</v>
      </c>
    </row>
    <row r="8">
      <c r="A8" s="20" t="s">
        <v>451</v>
      </c>
      <c r="B8" s="8" t="s">
        <v>37</v>
      </c>
      <c r="C8" s="30" t="s">
        <v>206</v>
      </c>
      <c r="D8" s="44" t="s">
        <v>420</v>
      </c>
      <c r="E8" s="49" t="s">
        <v>452</v>
      </c>
      <c r="F8" s="44" t="s">
        <v>31</v>
      </c>
      <c r="G8" s="22" t="s">
        <v>97</v>
      </c>
      <c r="H8" s="22" t="s">
        <v>453</v>
      </c>
      <c r="I8" s="22" t="s">
        <v>95</v>
      </c>
      <c r="J8" s="30" t="s">
        <v>454</v>
      </c>
      <c r="K8" s="30" t="s">
        <v>455</v>
      </c>
      <c r="L8" s="45" t="s">
        <v>81</v>
      </c>
      <c r="M8" s="45" t="s">
        <v>443</v>
      </c>
      <c r="N8" s="45" t="s">
        <v>456</v>
      </c>
      <c r="O8" s="47" t="s">
        <v>457</v>
      </c>
      <c r="P8" s="48" t="str">
        <f>HYPERLINK("https://drive.google.com/file/d/1LMxsC8EoWjmxCCiUfgFW_PnIXV0DhmyG/view?usp=drivesdk","015_Surat Tugas - AKHMAT YATIM")</f>
        <v>015_Surat Tugas - AKHMAT YATIM</v>
      </c>
      <c r="Q8" s="45" t="s">
        <v>446</v>
      </c>
    </row>
    <row r="9">
      <c r="A9" s="20" t="s">
        <v>458</v>
      </c>
      <c r="B9" s="8" t="s">
        <v>37</v>
      </c>
      <c r="C9" s="27" t="s">
        <v>74</v>
      </c>
      <c r="D9" s="30" t="s">
        <v>420</v>
      </c>
      <c r="E9" s="44" t="s">
        <v>301</v>
      </c>
      <c r="F9" s="44" t="s">
        <v>31</v>
      </c>
      <c r="G9" s="22" t="s">
        <v>104</v>
      </c>
      <c r="H9" s="22" t="s">
        <v>104</v>
      </c>
      <c r="I9" s="22" t="s">
        <v>103</v>
      </c>
      <c r="J9" s="30" t="s">
        <v>459</v>
      </c>
      <c r="K9" s="30" t="s">
        <v>460</v>
      </c>
      <c r="L9" s="45" t="s">
        <v>102</v>
      </c>
      <c r="M9" s="45" t="s">
        <v>461</v>
      </c>
      <c r="N9" s="45" t="s">
        <v>462</v>
      </c>
      <c r="O9" s="47" t="s">
        <v>463</v>
      </c>
      <c r="P9" s="48" t="str">
        <f>HYPERLINK("https://drive.google.com/file/d/1Gw2w0uDLVcY_KkSf-MT7rtmYfbCM39iB/view?usp=drivesdk","022_Surat Tugas - INTERNATIONAL CASSAVA CENTER")</f>
        <v>022_Surat Tugas - INTERNATIONAL CASSAVA CENTER</v>
      </c>
      <c r="Q9" s="45" t="s">
        <v>464</v>
      </c>
    </row>
    <row r="10">
      <c r="A10" s="20" t="s">
        <v>465</v>
      </c>
      <c r="B10" s="8" t="s">
        <v>37</v>
      </c>
      <c r="C10" s="27" t="s">
        <v>59</v>
      </c>
      <c r="D10" s="30" t="s">
        <v>420</v>
      </c>
      <c r="E10" s="30" t="s">
        <v>466</v>
      </c>
      <c r="F10" s="30" t="s">
        <v>31</v>
      </c>
      <c r="G10" s="22" t="s">
        <v>111</v>
      </c>
      <c r="H10" s="22" t="s">
        <v>467</v>
      </c>
      <c r="I10" s="22" t="s">
        <v>110</v>
      </c>
      <c r="J10" s="30" t="s">
        <v>468</v>
      </c>
      <c r="K10" s="30" t="s">
        <v>469</v>
      </c>
      <c r="L10" s="45" t="s">
        <v>109</v>
      </c>
      <c r="M10" s="45" t="s">
        <v>102</v>
      </c>
      <c r="N10" s="45" t="s">
        <v>470</v>
      </c>
      <c r="O10" s="47" t="s">
        <v>471</v>
      </c>
      <c r="P10" s="48" t="str">
        <f>HYPERLINK("https://drive.google.com/file/d/1_nVlyuw4mUxVMeG-4OfzB39uU4QW1AvY/view?usp=drivesdk","025_Surat Tugas - KULINER PRIMA VIDYA")</f>
        <v>025_Surat Tugas - KULINER PRIMA VIDYA</v>
      </c>
      <c r="Q10" s="45" t="s">
        <v>472</v>
      </c>
    </row>
    <row r="11">
      <c r="A11" s="20" t="s">
        <v>473</v>
      </c>
      <c r="B11" s="8" t="s">
        <v>37</v>
      </c>
      <c r="C11" s="27" t="s">
        <v>59</v>
      </c>
      <c r="D11" s="30" t="s">
        <v>420</v>
      </c>
      <c r="E11" s="49" t="s">
        <v>474</v>
      </c>
      <c r="F11" s="30" t="s">
        <v>31</v>
      </c>
      <c r="G11" s="22" t="s">
        <v>117</v>
      </c>
      <c r="H11" s="22" t="s">
        <v>475</v>
      </c>
      <c r="I11" s="22" t="s">
        <v>116</v>
      </c>
      <c r="J11" s="30" t="s">
        <v>468</v>
      </c>
      <c r="K11" s="30" t="s">
        <v>442</v>
      </c>
      <c r="L11" s="45" t="s">
        <v>109</v>
      </c>
      <c r="M11" s="45" t="s">
        <v>102</v>
      </c>
      <c r="N11" s="45" t="s">
        <v>476</v>
      </c>
      <c r="O11" s="47" t="s">
        <v>477</v>
      </c>
      <c r="P11" s="48" t="str">
        <f>HYPERLINK("https://drive.google.com/file/d/1fMdn4sTK4TohyLHdThlTMFGs0Vb5ds8C/view?usp=drivesdk","031_Surat Tugas - AYAM GORENG REMPAH MURNI ")</f>
        <v>031_Surat Tugas - AYAM GORENG REMPAH MURNI </v>
      </c>
      <c r="Q11" s="45" t="s">
        <v>478</v>
      </c>
    </row>
    <row r="12">
      <c r="A12" s="20" t="s">
        <v>479</v>
      </c>
      <c r="B12" s="8" t="s">
        <v>37</v>
      </c>
      <c r="C12" s="27" t="s">
        <v>59</v>
      </c>
      <c r="D12" s="30" t="s">
        <v>420</v>
      </c>
      <c r="E12" s="49" t="s">
        <v>480</v>
      </c>
      <c r="F12" s="30" t="s">
        <v>31</v>
      </c>
      <c r="G12" s="22" t="s">
        <v>123</v>
      </c>
      <c r="H12" s="22" t="s">
        <v>481</v>
      </c>
      <c r="I12" s="22" t="s">
        <v>122</v>
      </c>
      <c r="J12" s="30" t="s">
        <v>482</v>
      </c>
      <c r="K12" s="30" t="s">
        <v>442</v>
      </c>
      <c r="L12" s="45" t="s">
        <v>109</v>
      </c>
      <c r="M12" s="45" t="s">
        <v>102</v>
      </c>
      <c r="N12" s="45" t="s">
        <v>483</v>
      </c>
      <c r="O12" s="47" t="s">
        <v>484</v>
      </c>
      <c r="P12" s="48" t="str">
        <f>HYPERLINK("https://drive.google.com/file/d/1h6Wf4fgvQ0i7LON41MNaOGA6aiPjJWea/view?usp=drivesdk","033_Surat Tugas - AMELISAH BAKSO HUHAHUHA")</f>
        <v>033_Surat Tugas - AMELISAH BAKSO HUHAHUHA</v>
      </c>
      <c r="Q12" s="45" t="s">
        <v>478</v>
      </c>
    </row>
    <row r="13">
      <c r="A13" s="26" t="s">
        <v>485</v>
      </c>
      <c r="B13" s="8" t="s">
        <v>37</v>
      </c>
      <c r="C13" s="27" t="s">
        <v>74</v>
      </c>
      <c r="D13" s="30" t="s">
        <v>420</v>
      </c>
      <c r="E13" s="44" t="s">
        <v>409</v>
      </c>
      <c r="F13" s="30" t="s">
        <v>410</v>
      </c>
      <c r="G13" s="22" t="s">
        <v>128</v>
      </c>
      <c r="H13" s="22" t="s">
        <v>128</v>
      </c>
      <c r="I13" s="22" t="s">
        <v>486</v>
      </c>
      <c r="J13" s="8" t="s">
        <v>487</v>
      </c>
      <c r="K13" s="30" t="s">
        <v>488</v>
      </c>
      <c r="L13" s="45" t="s">
        <v>109</v>
      </c>
      <c r="M13" s="45" t="s">
        <v>489</v>
      </c>
      <c r="N13" s="45" t="s">
        <v>490</v>
      </c>
      <c r="O13" s="47" t="s">
        <v>491</v>
      </c>
      <c r="P13" s="48" t="str">
        <f>HYPERLINK("https://drive.google.com/file/d/1W1s0UGYXGyDGaF15VWoVQPUthx0P6BQV/view?usp=drivesdk","035_Surat Tugas - AKHIDIN S")</f>
        <v>035_Surat Tugas - AKHIDIN S</v>
      </c>
      <c r="Q13" s="45" t="s">
        <v>478</v>
      </c>
    </row>
    <row r="14">
      <c r="A14" s="26" t="s">
        <v>492</v>
      </c>
      <c r="B14" s="8" t="s">
        <v>132</v>
      </c>
      <c r="C14" s="27" t="s">
        <v>74</v>
      </c>
      <c r="D14" s="30" t="s">
        <v>420</v>
      </c>
      <c r="E14" s="44" t="s">
        <v>409</v>
      </c>
      <c r="F14" s="30" t="s">
        <v>410</v>
      </c>
      <c r="G14" s="22" t="s">
        <v>136</v>
      </c>
      <c r="H14" s="22" t="s">
        <v>493</v>
      </c>
      <c r="I14" s="22" t="s">
        <v>135</v>
      </c>
      <c r="J14" s="30" t="s">
        <v>468</v>
      </c>
      <c r="K14" s="30" t="s">
        <v>494</v>
      </c>
      <c r="L14" s="45" t="s">
        <v>134</v>
      </c>
      <c r="M14" s="45" t="s">
        <v>495</v>
      </c>
      <c r="N14" s="45" t="s">
        <v>496</v>
      </c>
      <c r="O14" s="47" t="s">
        <v>497</v>
      </c>
      <c r="P14" s="48" t="str">
        <f>HYPERLINK("https://drive.google.com/file/d/1tqg56ZGG39ZZ1K_seOhHNdssuFT5sqFO/view?usp=drivesdk","037_Surat Tugas - MAT CHOLIL")</f>
        <v>037_Surat Tugas - MAT CHOLIL</v>
      </c>
      <c r="Q14" s="45" t="s">
        <v>498</v>
      </c>
    </row>
    <row r="15">
      <c r="A15" s="20" t="s">
        <v>499</v>
      </c>
      <c r="B15" s="8" t="s">
        <v>132</v>
      </c>
      <c r="C15" s="30" t="s">
        <v>206</v>
      </c>
      <c r="D15" s="44" t="s">
        <v>420</v>
      </c>
      <c r="E15" s="27" t="s">
        <v>59</v>
      </c>
      <c r="F15" s="44" t="s">
        <v>31</v>
      </c>
      <c r="G15" s="22" t="s">
        <v>151</v>
      </c>
      <c r="H15" s="22" t="s">
        <v>500</v>
      </c>
      <c r="I15" s="22" t="s">
        <v>149</v>
      </c>
      <c r="J15" s="30" t="s">
        <v>482</v>
      </c>
      <c r="K15" s="30" t="s">
        <v>501</v>
      </c>
      <c r="L15" s="45" t="s">
        <v>148</v>
      </c>
      <c r="M15" s="45" t="s">
        <v>141</v>
      </c>
      <c r="N15" s="45" t="s">
        <v>502</v>
      </c>
      <c r="O15" s="47" t="s">
        <v>503</v>
      </c>
      <c r="P15" s="48" t="str">
        <f>HYPERLINK("https://drive.google.com/file/d/1cuY62xbd05v1qjU5qJlsZc-wLoImc0Jz/view?usp=drivesdk","046_Surat Tugas - HERRY CHANDRA")</f>
        <v>046_Surat Tugas - HERRY CHANDRA</v>
      </c>
      <c r="Q15" s="45" t="s">
        <v>504</v>
      </c>
    </row>
    <row r="16">
      <c r="A16" s="20" t="s">
        <v>505</v>
      </c>
      <c r="B16" s="8" t="s">
        <v>132</v>
      </c>
      <c r="C16" s="30" t="s">
        <v>206</v>
      </c>
      <c r="D16" s="44" t="s">
        <v>420</v>
      </c>
      <c r="E16" s="44" t="s">
        <v>409</v>
      </c>
      <c r="F16" s="30" t="s">
        <v>410</v>
      </c>
      <c r="G16" s="22" t="s">
        <v>158</v>
      </c>
      <c r="H16" s="22" t="s">
        <v>506</v>
      </c>
      <c r="I16" s="22" t="s">
        <v>156</v>
      </c>
      <c r="J16" s="30" t="s">
        <v>507</v>
      </c>
      <c r="K16" s="30" t="s">
        <v>508</v>
      </c>
      <c r="L16" s="45" t="s">
        <v>155</v>
      </c>
      <c r="M16" s="45" t="s">
        <v>509</v>
      </c>
      <c r="N16" s="45" t="s">
        <v>510</v>
      </c>
      <c r="O16" s="47" t="s">
        <v>511</v>
      </c>
      <c r="P16" s="48" t="str">
        <f>HYPERLINK("https://drive.google.com/file/d/1apABu_A74AjS3lKScd-aYtCfUjm3j51y/view?usp=drivesdk","048_Surat Tugas - PT. SEHATI BERSAMA ABADI")</f>
        <v>048_Surat Tugas - PT. SEHATI BERSAMA ABADI</v>
      </c>
      <c r="Q16" s="45" t="s">
        <v>512</v>
      </c>
    </row>
    <row r="17">
      <c r="A17" s="8" t="s">
        <v>154</v>
      </c>
      <c r="B17" s="8" t="s">
        <v>132</v>
      </c>
      <c r="C17" s="27" t="s">
        <v>59</v>
      </c>
      <c r="D17" s="44" t="s">
        <v>420</v>
      </c>
      <c r="E17" s="49" t="s">
        <v>513</v>
      </c>
      <c r="F17" s="30" t="s">
        <v>410</v>
      </c>
      <c r="G17" s="8" t="s">
        <v>165</v>
      </c>
      <c r="H17" s="8" t="s">
        <v>165</v>
      </c>
      <c r="I17" s="8" t="s">
        <v>514</v>
      </c>
      <c r="J17" s="8" t="s">
        <v>515</v>
      </c>
      <c r="K17" s="8" t="s">
        <v>516</v>
      </c>
      <c r="L17" s="45" t="s">
        <v>163</v>
      </c>
      <c r="M17" s="45" t="s">
        <v>517</v>
      </c>
      <c r="N17" s="45" t="s">
        <v>518</v>
      </c>
      <c r="O17" s="47" t="s">
        <v>519</v>
      </c>
      <c r="P17" s="48" t="str">
        <f>HYPERLINK("https://drive.google.com/file/d/1ntoA4I2mDzS7tyMzD9MhIymH0Xq69Pov/view?usp=drivesdk","049_Surat Tugas - SAKIKO TERUS JAYA")</f>
        <v>049_Surat Tugas - SAKIKO TERUS JAYA</v>
      </c>
      <c r="Q17" s="45" t="s">
        <v>520</v>
      </c>
    </row>
    <row r="18">
      <c r="A18" s="26" t="s">
        <v>521</v>
      </c>
      <c r="B18" s="8" t="s">
        <v>132</v>
      </c>
      <c r="C18" s="27" t="s">
        <v>59</v>
      </c>
      <c r="D18" s="44" t="s">
        <v>420</v>
      </c>
      <c r="E18" s="44" t="s">
        <v>409</v>
      </c>
      <c r="F18" s="30" t="s">
        <v>410</v>
      </c>
      <c r="G18" s="30" t="s">
        <v>172</v>
      </c>
      <c r="H18" s="30" t="s">
        <v>522</v>
      </c>
      <c r="I18" s="22" t="s">
        <v>171</v>
      </c>
      <c r="J18" s="30" t="s">
        <v>412</v>
      </c>
      <c r="K18" s="22" t="s">
        <v>523</v>
      </c>
      <c r="L18" s="8" t="s">
        <v>524</v>
      </c>
      <c r="M18" s="8" t="s">
        <v>525</v>
      </c>
      <c r="N18" s="45" t="s">
        <v>526</v>
      </c>
      <c r="O18" s="47" t="s">
        <v>527</v>
      </c>
      <c r="P18" s="48" t="str">
        <f>HYPERLINK("https://drive.google.com/file/d/1rtdKBUNsQUKibA16zk5O_Ut7DlohGl7B/view?usp=drivesdk","057_Surat Tugas - DRA WARDATUL ASRIAH")</f>
        <v>057_Surat Tugas - DRA WARDATUL ASRIAH</v>
      </c>
      <c r="Q18" s="45" t="s">
        <v>528</v>
      </c>
    </row>
    <row r="19">
      <c r="A19" s="20" t="s">
        <v>529</v>
      </c>
      <c r="B19" s="8" t="s">
        <v>132</v>
      </c>
      <c r="C19" s="27" t="s">
        <v>59</v>
      </c>
      <c r="D19" s="44" t="s">
        <v>420</v>
      </c>
      <c r="E19" s="49" t="s">
        <v>530</v>
      </c>
      <c r="F19" s="30" t="s">
        <v>31</v>
      </c>
      <c r="G19" s="22" t="s">
        <v>66</v>
      </c>
      <c r="H19" s="22" t="s">
        <v>531</v>
      </c>
      <c r="I19" s="22" t="s">
        <v>177</v>
      </c>
      <c r="K19" s="22" t="s">
        <v>532</v>
      </c>
      <c r="L19" s="8" t="s">
        <v>524</v>
      </c>
      <c r="M19" s="8" t="s">
        <v>525</v>
      </c>
      <c r="N19" s="45" t="s">
        <v>533</v>
      </c>
      <c r="O19" s="47" t="s">
        <v>534</v>
      </c>
      <c r="P19" s="48" t="str">
        <f>HYPERLINK("https://drive.google.com/file/d/1brv1g9w9bC7R3g97LRUH3I64-4Td2XNQ/view?usp=drivesdk","059_Surat Tugas - HJ MARDIAH DAN HJ CHALIMAH")</f>
        <v>059_Surat Tugas - HJ MARDIAH DAN HJ CHALIMAH</v>
      </c>
      <c r="Q19" s="45" t="s">
        <v>528</v>
      </c>
    </row>
    <row r="20">
      <c r="A20" s="20" t="s">
        <v>535</v>
      </c>
      <c r="B20" s="8" t="s">
        <v>132</v>
      </c>
      <c r="C20" s="27" t="s">
        <v>59</v>
      </c>
      <c r="D20" s="44" t="s">
        <v>420</v>
      </c>
      <c r="E20" s="27" t="s">
        <v>536</v>
      </c>
      <c r="F20" s="30" t="s">
        <v>410</v>
      </c>
      <c r="G20" s="22" t="s">
        <v>184</v>
      </c>
      <c r="H20" s="22" t="s">
        <v>184</v>
      </c>
      <c r="I20" s="22" t="s">
        <v>183</v>
      </c>
      <c r="J20" s="30" t="s">
        <v>537</v>
      </c>
      <c r="K20" s="22" t="s">
        <v>538</v>
      </c>
      <c r="L20" s="8" t="s">
        <v>539</v>
      </c>
      <c r="M20" s="22" t="s">
        <v>525</v>
      </c>
      <c r="N20" s="45" t="s">
        <v>540</v>
      </c>
      <c r="O20" s="47" t="s">
        <v>541</v>
      </c>
      <c r="P20" s="48" t="str">
        <f>HYPERLINK("https://drive.google.com/file/d/1jSsKlR0Xl2invbrA-F_r-mkOTOnvZXOo/view?usp=drivesdk","060_Surat Tugas - TOYA BUMI BERSIH")</f>
        <v>060_Surat Tugas - TOYA BUMI BERSIH</v>
      </c>
      <c r="Q20" s="45" t="s">
        <v>187</v>
      </c>
    </row>
    <row r="21">
      <c r="A21" s="20" t="s">
        <v>542</v>
      </c>
      <c r="B21" s="8" t="s">
        <v>189</v>
      </c>
      <c r="C21" s="27" t="s">
        <v>59</v>
      </c>
      <c r="D21" s="44" t="s">
        <v>420</v>
      </c>
      <c r="E21" s="27" t="s">
        <v>536</v>
      </c>
      <c r="F21" s="30" t="s">
        <v>31</v>
      </c>
      <c r="G21" s="22" t="s">
        <v>192</v>
      </c>
      <c r="H21" s="22" t="s">
        <v>192</v>
      </c>
      <c r="I21" s="22" t="s">
        <v>191</v>
      </c>
      <c r="J21" s="30" t="s">
        <v>412</v>
      </c>
      <c r="K21" s="22" t="s">
        <v>543</v>
      </c>
      <c r="L21" s="22" t="s">
        <v>544</v>
      </c>
      <c r="M21" s="8" t="s">
        <v>182</v>
      </c>
      <c r="N21" s="45" t="s">
        <v>545</v>
      </c>
      <c r="O21" s="47" t="s">
        <v>546</v>
      </c>
      <c r="P21" s="48" t="str">
        <f>HYPERLINK("https://drive.google.com/file/d/1dvcw7ENpZSluWvl6hWYb6nXymVQrk9k_/view?usp=drivesdk","062_Surat Tugas - TB YANUAR ARYANDI")</f>
        <v>062_Surat Tugas - TB YANUAR ARYANDI</v>
      </c>
      <c r="Q21" s="45" t="s">
        <v>547</v>
      </c>
    </row>
    <row r="22">
      <c r="A22" s="20" t="s">
        <v>548</v>
      </c>
      <c r="B22" s="8" t="s">
        <v>189</v>
      </c>
      <c r="C22" s="30" t="s">
        <v>206</v>
      </c>
      <c r="D22" s="44" t="s">
        <v>420</v>
      </c>
      <c r="E22" s="44" t="s">
        <v>409</v>
      </c>
      <c r="F22" s="30" t="s">
        <v>410</v>
      </c>
      <c r="G22" s="22" t="s">
        <v>151</v>
      </c>
      <c r="H22" s="22" t="s">
        <v>500</v>
      </c>
      <c r="I22" s="22" t="s">
        <v>149</v>
      </c>
      <c r="J22" s="30" t="s">
        <v>482</v>
      </c>
      <c r="K22" s="30" t="s">
        <v>501</v>
      </c>
      <c r="L22" s="22" t="s">
        <v>549</v>
      </c>
      <c r="M22" s="8" t="s">
        <v>550</v>
      </c>
      <c r="N22" s="45" t="s">
        <v>551</v>
      </c>
      <c r="O22" s="47" t="s">
        <v>552</v>
      </c>
      <c r="P22" s="48" t="str">
        <f>HYPERLINK("https://drive.google.com/file/d/1xgrkTgC24OAUygRRYwrzXwdPNolmXJvP/view?usp=drivesdk","069_Surat Tugas - HERRY CHANDRA")</f>
        <v>069_Surat Tugas - HERRY CHANDRA</v>
      </c>
      <c r="Q22" s="45" t="s">
        <v>553</v>
      </c>
    </row>
    <row r="23">
      <c r="A23" s="20" t="s">
        <v>554</v>
      </c>
      <c r="B23" s="8" t="s">
        <v>189</v>
      </c>
      <c r="C23" s="30" t="s">
        <v>206</v>
      </c>
      <c r="D23" s="44" t="s">
        <v>420</v>
      </c>
      <c r="E23" s="44" t="s">
        <v>409</v>
      </c>
      <c r="F23" s="30" t="s">
        <v>410</v>
      </c>
      <c r="G23" s="8" t="s">
        <v>218</v>
      </c>
      <c r="H23" s="22" t="s">
        <v>218</v>
      </c>
      <c r="I23" s="22" t="s">
        <v>217</v>
      </c>
      <c r="J23" s="22" t="s">
        <v>555</v>
      </c>
      <c r="K23" s="22" t="s">
        <v>556</v>
      </c>
      <c r="L23" s="8" t="s">
        <v>557</v>
      </c>
      <c r="M23" s="8" t="s">
        <v>550</v>
      </c>
      <c r="N23" s="8" t="s">
        <v>558</v>
      </c>
      <c r="O23" s="19" t="s">
        <v>559</v>
      </c>
      <c r="P23" s="7" t="str">
        <f>HYPERLINK("https://drive.google.com/file/d/1izJ1BU1Dkr4UeuWXPxWKmC3UtbYUxbp0/view?usp=drivesdk","071_Surat Tugas - CV. INDO AROMA UTAMA")</f>
        <v>071_Surat Tugas - CV. INDO AROMA UTAMA</v>
      </c>
      <c r="Q23" s="8" t="s">
        <v>553</v>
      </c>
    </row>
    <row r="24">
      <c r="A24" s="20" t="s">
        <v>560</v>
      </c>
      <c r="B24" s="8" t="s">
        <v>189</v>
      </c>
      <c r="C24" s="30" t="s">
        <v>59</v>
      </c>
      <c r="D24" s="44" t="s">
        <v>420</v>
      </c>
      <c r="E24" s="30" t="s">
        <v>561</v>
      </c>
      <c r="F24" s="30" t="s">
        <v>31</v>
      </c>
      <c r="G24" s="8" t="s">
        <v>224</v>
      </c>
      <c r="H24" s="8" t="s">
        <v>224</v>
      </c>
      <c r="I24" s="22" t="s">
        <v>223</v>
      </c>
      <c r="J24" s="22" t="s">
        <v>562</v>
      </c>
      <c r="K24" s="50" t="s">
        <v>563</v>
      </c>
      <c r="L24" s="8" t="s">
        <v>564</v>
      </c>
      <c r="M24" s="8" t="s">
        <v>550</v>
      </c>
      <c r="N24" s="8" t="s">
        <v>565</v>
      </c>
      <c r="O24" s="19" t="s">
        <v>566</v>
      </c>
      <c r="P24" s="7" t="str">
        <f>HYPERLINK("https://drive.google.com/file/d/1ggGLHcaS2A7u16t6yF92mEIp8ek0kbF8/view?usp=drivesdk","073_Surat Tugas - Malik Jabbar Herbalindo")</f>
        <v>073_Surat Tugas - Malik Jabbar Herbalindo</v>
      </c>
      <c r="Q24" s="8" t="s">
        <v>553</v>
      </c>
    </row>
    <row r="25">
      <c r="A25" s="20" t="s">
        <v>567</v>
      </c>
      <c r="B25" s="8" t="s">
        <v>240</v>
      </c>
      <c r="C25" s="30" t="s">
        <v>59</v>
      </c>
      <c r="D25" s="44" t="s">
        <v>420</v>
      </c>
      <c r="E25" s="49" t="s">
        <v>568</v>
      </c>
      <c r="F25" s="30" t="s">
        <v>31</v>
      </c>
      <c r="G25" s="30" t="s">
        <v>243</v>
      </c>
      <c r="H25" s="30" t="s">
        <v>243</v>
      </c>
      <c r="I25" s="30" t="s">
        <v>242</v>
      </c>
      <c r="J25" s="30" t="s">
        <v>459</v>
      </c>
      <c r="K25" s="8" t="s">
        <v>569</v>
      </c>
      <c r="L25" s="8" t="s">
        <v>570</v>
      </c>
      <c r="M25" s="8" t="s">
        <v>571</v>
      </c>
      <c r="N25" s="8" t="s">
        <v>572</v>
      </c>
      <c r="O25" s="19" t="s">
        <v>573</v>
      </c>
      <c r="P25" s="7" t="str">
        <f>HYPERLINK("https://drive.google.com/file/d/1V-MxWOHVr-dNz7D7T12TNEtJzdiLZ-Aq/view?usp=drivesdk","082_Surat Tugas - MAJU BAHAGIA CAKUE")</f>
        <v>082_Surat Tugas - MAJU BAHAGIA CAKUE</v>
      </c>
      <c r="Q25" s="8" t="s">
        <v>574</v>
      </c>
    </row>
    <row r="26">
      <c r="A26" s="20" t="s">
        <v>575</v>
      </c>
      <c r="B26" s="8" t="s">
        <v>240</v>
      </c>
      <c r="C26" s="30" t="s">
        <v>59</v>
      </c>
      <c r="D26" s="44" t="s">
        <v>420</v>
      </c>
      <c r="E26" s="49" t="s">
        <v>576</v>
      </c>
      <c r="F26" s="30" t="s">
        <v>31</v>
      </c>
      <c r="G26" s="8" t="s">
        <v>250</v>
      </c>
      <c r="H26" s="8" t="s">
        <v>250</v>
      </c>
      <c r="I26" s="8" t="s">
        <v>249</v>
      </c>
      <c r="J26" s="30" t="s">
        <v>412</v>
      </c>
      <c r="K26" s="8" t="s">
        <v>577</v>
      </c>
      <c r="L26" s="8" t="s">
        <v>578</v>
      </c>
      <c r="M26" s="8" t="s">
        <v>571</v>
      </c>
      <c r="N26" s="8" t="s">
        <v>579</v>
      </c>
      <c r="O26" s="19" t="s">
        <v>580</v>
      </c>
      <c r="P26" s="7" t="str">
        <f>HYPERLINK("https://drive.google.com/file/d/1gMrYPoaSTewYybryTOoa0emrV7bO5k8S/view?usp=drivesdk","084_Surat Tugas - MINYAK URAPAN ANGGUR")</f>
        <v>084_Surat Tugas - MINYAK URAPAN ANGGUR</v>
      </c>
      <c r="Q26" s="8" t="s">
        <v>574</v>
      </c>
    </row>
    <row r="27">
      <c r="A27" s="20" t="s">
        <v>581</v>
      </c>
      <c r="B27" s="8" t="s">
        <v>240</v>
      </c>
      <c r="C27" s="27" t="s">
        <v>74</v>
      </c>
      <c r="D27" s="30" t="s">
        <v>420</v>
      </c>
      <c r="E27" s="44" t="s">
        <v>409</v>
      </c>
      <c r="F27" s="30" t="s">
        <v>410</v>
      </c>
      <c r="G27" s="22" t="s">
        <v>255</v>
      </c>
      <c r="H27" s="22" t="s">
        <v>255</v>
      </c>
      <c r="I27" s="22" t="s">
        <v>254</v>
      </c>
      <c r="J27" s="22" t="s">
        <v>582</v>
      </c>
      <c r="K27" s="22" t="s">
        <v>583</v>
      </c>
      <c r="L27" s="8" t="s">
        <v>584</v>
      </c>
      <c r="M27" s="31">
        <v>46116.0</v>
      </c>
      <c r="N27" s="8" t="s">
        <v>585</v>
      </c>
      <c r="O27" s="19" t="s">
        <v>586</v>
      </c>
      <c r="P27" s="7" t="str">
        <f>HYPERLINK("https://drive.google.com/file/d/1lcDn10j7oxAF0sqrLtMRV2AcRtWDu016/view?usp=drivesdk","087_Surat Tugas - WINDY RALLY GIANA LESMANA")</f>
        <v>087_Surat Tugas - WINDY RALLY GIANA LESMANA</v>
      </c>
      <c r="Q27" s="8" t="s">
        <v>587</v>
      </c>
    </row>
    <row r="28">
      <c r="A28" s="20" t="s">
        <v>588</v>
      </c>
      <c r="B28" s="8" t="s">
        <v>240</v>
      </c>
      <c r="C28" s="27" t="s">
        <v>294</v>
      </c>
      <c r="D28" s="30" t="s">
        <v>420</v>
      </c>
      <c r="E28" s="30" t="s">
        <v>589</v>
      </c>
      <c r="F28" s="30" t="s">
        <v>31</v>
      </c>
      <c r="G28" s="22" t="s">
        <v>278</v>
      </c>
      <c r="H28" s="22" t="s">
        <v>278</v>
      </c>
      <c r="I28" s="8" t="s">
        <v>277</v>
      </c>
      <c r="J28" s="22" t="s">
        <v>590</v>
      </c>
      <c r="K28" s="51"/>
      <c r="L28" s="8" t="s">
        <v>591</v>
      </c>
      <c r="M28" s="32">
        <v>46127.0</v>
      </c>
      <c r="N28" s="8" t="s">
        <v>592</v>
      </c>
      <c r="O28" s="19" t="s">
        <v>593</v>
      </c>
      <c r="P28" s="7" t="str">
        <f>HYPERLINK("https://drive.google.com/file/d/1rBn_GBMUSq8wUaTDEKPOKarTrCb5KqAr/view?usp=drivesdk","089_Surat Tugas - MINANG MURT")</f>
        <v>089_Surat Tugas - MINANG MURT</v>
      </c>
      <c r="Q28" s="8" t="s">
        <v>587</v>
      </c>
    </row>
    <row r="29">
      <c r="A29" s="20" t="s">
        <v>594</v>
      </c>
      <c r="B29" s="8" t="s">
        <v>240</v>
      </c>
      <c r="C29" s="27" t="s">
        <v>294</v>
      </c>
      <c r="D29" s="30" t="s">
        <v>420</v>
      </c>
      <c r="E29" s="30" t="s">
        <v>589</v>
      </c>
      <c r="F29" s="30" t="s">
        <v>31</v>
      </c>
      <c r="G29" s="22" t="s">
        <v>295</v>
      </c>
      <c r="H29" s="22" t="s">
        <v>595</v>
      </c>
      <c r="I29" s="22" t="s">
        <v>293</v>
      </c>
      <c r="J29" s="22" t="s">
        <v>596</v>
      </c>
      <c r="K29" s="51"/>
      <c r="L29" s="8" t="s">
        <v>591</v>
      </c>
      <c r="M29" s="32">
        <v>46127.0</v>
      </c>
      <c r="N29" s="8" t="s">
        <v>597</v>
      </c>
      <c r="O29" s="19" t="s">
        <v>598</v>
      </c>
      <c r="P29" s="7" t="str">
        <f>HYPERLINK("https://drive.google.com/file/d/1PD0RsprAbCyFNvlAvT9ZTMqx9YXGHHLG/view?usp=drivesdk","097_Surat Tugas - FAUZIAH S.")</f>
        <v>097_Surat Tugas - FAUZIAH S.</v>
      </c>
      <c r="Q29" s="8" t="s">
        <v>587</v>
      </c>
    </row>
    <row r="30">
      <c r="A30" s="20" t="s">
        <v>599</v>
      </c>
      <c r="B30" s="8" t="s">
        <v>240</v>
      </c>
      <c r="C30" s="27" t="s">
        <v>59</v>
      </c>
      <c r="D30" s="30" t="s">
        <v>420</v>
      </c>
      <c r="E30" s="52" t="s">
        <v>600</v>
      </c>
      <c r="F30" s="30" t="s">
        <v>31</v>
      </c>
      <c r="G30" s="22" t="s">
        <v>323</v>
      </c>
      <c r="H30" s="22" t="s">
        <v>323</v>
      </c>
      <c r="I30" s="22" t="s">
        <v>322</v>
      </c>
      <c r="J30" s="22" t="s">
        <v>412</v>
      </c>
      <c r="K30" s="22" t="s">
        <v>601</v>
      </c>
      <c r="L30" s="8" t="s">
        <v>602</v>
      </c>
      <c r="M30" s="32">
        <v>46127.0</v>
      </c>
      <c r="N30" s="8" t="s">
        <v>603</v>
      </c>
      <c r="O30" s="19" t="s">
        <v>604</v>
      </c>
      <c r="P30" s="7" t="str">
        <f>HYPERLINK("https://drive.google.com/file/d/10wgDLTyS14LEer9FLtk2UyWq7YnMTV99/view?usp=drivesdk","113_Surat Tugas - AURORA REMPAH NUSANTARA")</f>
        <v>113_Surat Tugas - AURORA REMPAH NUSANTARA</v>
      </c>
      <c r="Q30" s="8" t="s">
        <v>605</v>
      </c>
    </row>
    <row r="31">
      <c r="A31" s="20" t="s">
        <v>606</v>
      </c>
      <c r="B31" s="8" t="s">
        <v>240</v>
      </c>
      <c r="C31" s="27" t="s">
        <v>74</v>
      </c>
      <c r="D31" s="30" t="s">
        <v>420</v>
      </c>
      <c r="E31" s="49" t="s">
        <v>607</v>
      </c>
      <c r="F31" s="30" t="s">
        <v>410</v>
      </c>
      <c r="G31" s="8" t="s">
        <v>608</v>
      </c>
      <c r="H31" s="34" t="s">
        <v>318</v>
      </c>
      <c r="I31" s="8" t="s">
        <v>317</v>
      </c>
      <c r="J31" s="8" t="s">
        <v>515</v>
      </c>
      <c r="K31" s="8" t="s">
        <v>609</v>
      </c>
      <c r="L31" s="8" t="s">
        <v>602</v>
      </c>
      <c r="M31" s="32">
        <v>46127.0</v>
      </c>
      <c r="N31" s="8" t="s">
        <v>610</v>
      </c>
      <c r="O31" s="19" t="s">
        <v>611</v>
      </c>
      <c r="P31" s="7" t="str">
        <f>HYPERLINK("https://drive.google.com/file/d/1YRISNc1j50SCuipERdrnK5c_grcyvUem/view?usp=drivesdk","108_Surat Tugas - Ir. Daniel I.M.S")</f>
        <v>108_Surat Tugas - Ir. Daniel I.M.S</v>
      </c>
      <c r="Q31" s="8" t="s">
        <v>612</v>
      </c>
    </row>
    <row r="32">
      <c r="A32" s="20" t="s">
        <v>613</v>
      </c>
      <c r="B32" s="8" t="s">
        <v>240</v>
      </c>
      <c r="C32" s="27" t="s">
        <v>59</v>
      </c>
      <c r="D32" s="30" t="s">
        <v>420</v>
      </c>
      <c r="E32" s="30" t="s">
        <v>589</v>
      </c>
      <c r="F32" s="30" t="s">
        <v>31</v>
      </c>
      <c r="G32" s="34" t="s">
        <v>329</v>
      </c>
      <c r="H32" s="34" t="s">
        <v>614</v>
      </c>
      <c r="I32" s="22" t="s">
        <v>615</v>
      </c>
      <c r="J32" s="22" t="s">
        <v>412</v>
      </c>
      <c r="K32" s="22" t="s">
        <v>616</v>
      </c>
      <c r="L32" s="8" t="s">
        <v>617</v>
      </c>
      <c r="M32" s="32">
        <v>46129.0</v>
      </c>
      <c r="N32" s="8" t="s">
        <v>618</v>
      </c>
      <c r="O32" s="19" t="s">
        <v>619</v>
      </c>
      <c r="P32" s="7" t="str">
        <f>HYPERLINK("https://drive.google.com/file/d/1owVfY5CUFBG1mnTHCD_L0qidMURXa8Wy/view?usp=drivesdk","117_Surat Tugas - ANUGERAH KENYANG BERSAMA")</f>
        <v>117_Surat Tugas - ANUGERAH KENYANG BERSAMA</v>
      </c>
      <c r="Q32" s="8" t="s">
        <v>620</v>
      </c>
    </row>
    <row r="33">
      <c r="A33" s="20" t="s">
        <v>621</v>
      </c>
      <c r="B33" s="8" t="s">
        <v>240</v>
      </c>
      <c r="C33" s="27" t="s">
        <v>59</v>
      </c>
      <c r="D33" s="30" t="s">
        <v>420</v>
      </c>
      <c r="E33" s="30" t="s">
        <v>589</v>
      </c>
      <c r="F33" s="30" t="s">
        <v>31</v>
      </c>
      <c r="G33" s="8" t="s">
        <v>335</v>
      </c>
      <c r="H33" s="8" t="s">
        <v>622</v>
      </c>
      <c r="I33" s="8" t="s">
        <v>623</v>
      </c>
      <c r="J33" s="8" t="s">
        <v>459</v>
      </c>
      <c r="K33" s="8" t="s">
        <v>624</v>
      </c>
      <c r="L33" s="8" t="s">
        <v>617</v>
      </c>
      <c r="M33" s="32">
        <v>46129.0</v>
      </c>
      <c r="N33" s="8" t="s">
        <v>625</v>
      </c>
      <c r="O33" s="19" t="s">
        <v>626</v>
      </c>
      <c r="P33" s="7" t="str">
        <f>HYPERLINK("https://drive.google.com/file/d/1-XnsIZOZYjGPnLcB_NZhGwGDcm5vOk6b/view?usp=drivesdk","119_Surat Tugas - NADYA AISSYAH MAHARINI")</f>
        <v>119_Surat Tugas - NADYA AISSYAH MAHARINI</v>
      </c>
      <c r="Q33" s="8" t="s">
        <v>627</v>
      </c>
    </row>
    <row r="34">
      <c r="A34" s="8">
        <v>127.0</v>
      </c>
      <c r="B34" s="8" t="s">
        <v>349</v>
      </c>
      <c r="C34" s="8" t="s">
        <v>59</v>
      </c>
      <c r="D34" s="30" t="s">
        <v>420</v>
      </c>
      <c r="E34" s="30" t="s">
        <v>628</v>
      </c>
      <c r="F34" s="30" t="s">
        <v>31</v>
      </c>
      <c r="G34" s="22" t="s">
        <v>352</v>
      </c>
      <c r="H34" s="8" t="s">
        <v>629</v>
      </c>
      <c r="I34" s="37" t="s">
        <v>351</v>
      </c>
      <c r="J34" s="8" t="s">
        <v>412</v>
      </c>
      <c r="K34" s="8" t="s">
        <v>630</v>
      </c>
      <c r="L34" s="8" t="s">
        <v>631</v>
      </c>
      <c r="M34" s="32">
        <v>46141.0</v>
      </c>
      <c r="N34" s="8" t="s">
        <v>632</v>
      </c>
      <c r="O34" s="19" t="s">
        <v>633</v>
      </c>
      <c r="P34" s="7" t="str">
        <f>HYPERLINK("https://drive.google.com/file/d/1ljVuD47LDYM1Y9zK4ov5WM_yaJ8aXUiO/view?usp=drivesdk","127_Surat Tugas - IQBAL MUBAROK")</f>
        <v>127_Surat Tugas - IQBAL MUBAROK</v>
      </c>
      <c r="Q34" s="8" t="s">
        <v>355</v>
      </c>
    </row>
    <row r="35">
      <c r="A35" s="8">
        <v>130.0</v>
      </c>
      <c r="B35" s="8" t="s">
        <v>349</v>
      </c>
      <c r="C35" s="8" t="s">
        <v>59</v>
      </c>
      <c r="D35" s="30" t="s">
        <v>420</v>
      </c>
      <c r="E35" s="30" t="s">
        <v>628</v>
      </c>
      <c r="F35" s="30" t="s">
        <v>31</v>
      </c>
      <c r="G35" s="22" t="s">
        <v>357</v>
      </c>
      <c r="H35" s="8" t="s">
        <v>357</v>
      </c>
      <c r="I35" s="8" t="s">
        <v>356</v>
      </c>
      <c r="J35" s="8" t="s">
        <v>459</v>
      </c>
      <c r="K35" s="8" t="s">
        <v>634</v>
      </c>
      <c r="L35" s="8" t="s">
        <v>635</v>
      </c>
      <c r="M35" s="32">
        <v>46141.0</v>
      </c>
      <c r="N35" s="8" t="s">
        <v>636</v>
      </c>
      <c r="O35" s="19" t="s">
        <v>637</v>
      </c>
      <c r="P35" s="7" t="str">
        <f>HYPERLINK("https://drive.google.com/file/d/1CY9VQvi3gbms8pLrO9i8JM9YQS0w1EEM/view?usp=drivesdk","130_Surat Tugas - USWATUN KHASANAH")</f>
        <v>130_Surat Tugas - USWATUN KHASANAH</v>
      </c>
      <c r="Q35" s="8" t="s">
        <v>638</v>
      </c>
    </row>
    <row r="36">
      <c r="A36" s="8">
        <v>139.0</v>
      </c>
      <c r="B36" s="8" t="s">
        <v>349</v>
      </c>
      <c r="C36" s="27" t="s">
        <v>59</v>
      </c>
      <c r="D36" s="30" t="s">
        <v>420</v>
      </c>
      <c r="E36" s="52" t="s">
        <v>639</v>
      </c>
      <c r="F36" s="30" t="s">
        <v>31</v>
      </c>
      <c r="G36" s="8" t="s">
        <v>640</v>
      </c>
      <c r="H36" s="40" t="s">
        <v>376</v>
      </c>
      <c r="I36" s="8" t="s">
        <v>375</v>
      </c>
      <c r="J36" s="8" t="s">
        <v>412</v>
      </c>
      <c r="K36" s="8" t="s">
        <v>641</v>
      </c>
      <c r="L36" s="8" t="s">
        <v>642</v>
      </c>
      <c r="M36" s="8" t="s">
        <v>643</v>
      </c>
      <c r="N36" s="8" t="s">
        <v>644</v>
      </c>
      <c r="O36" s="19" t="s">
        <v>645</v>
      </c>
      <c r="P36" s="7" t="str">
        <f>HYPERLINK("https://drive.google.com/file/d/1PUfFMMc9mzkMGyppCQjpCBrRutj7h70w/view?usp=drivesdk","139_Surat Tugas - ANTASENA BANGUN BERSAMA")</f>
        <v>139_Surat Tugas - ANTASENA BANGUN BERSAMA</v>
      </c>
      <c r="Q36" s="8" t="s">
        <v>646</v>
      </c>
    </row>
    <row r="37">
      <c r="A37" s="8">
        <v>140.0</v>
      </c>
      <c r="B37" s="8" t="s">
        <v>349</v>
      </c>
      <c r="C37" s="27" t="s">
        <v>59</v>
      </c>
      <c r="D37" s="30" t="s">
        <v>420</v>
      </c>
      <c r="E37" s="52" t="s">
        <v>647</v>
      </c>
      <c r="F37" s="30" t="s">
        <v>31</v>
      </c>
      <c r="G37" s="8" t="s">
        <v>640</v>
      </c>
      <c r="H37" s="40" t="s">
        <v>381</v>
      </c>
      <c r="I37" s="22" t="s">
        <v>380</v>
      </c>
      <c r="J37" s="8" t="s">
        <v>412</v>
      </c>
      <c r="K37" s="8" t="s">
        <v>648</v>
      </c>
      <c r="L37" s="8" t="s">
        <v>642</v>
      </c>
      <c r="M37" s="8" t="s">
        <v>643</v>
      </c>
      <c r="N37" s="8" t="s">
        <v>649</v>
      </c>
      <c r="O37" s="19" t="s">
        <v>650</v>
      </c>
      <c r="P37" s="7" t="str">
        <f>HYPERLINK("https://drive.google.com/file/d/1Yso3T6VnJ8Gldp2PLqwMvmJxGdWpsnsb/view?usp=drivesdk","140_Surat Tugas - ANTASENA BANGUN BERSAMA")</f>
        <v>140_Surat Tugas - ANTASENA BANGUN BERSAMA</v>
      </c>
      <c r="Q37" s="8" t="s">
        <v>651</v>
      </c>
    </row>
    <row r="38">
      <c r="A38" s="8">
        <v>143.0</v>
      </c>
      <c r="B38" s="8" t="s">
        <v>349</v>
      </c>
      <c r="C38" s="27" t="s">
        <v>59</v>
      </c>
      <c r="D38" s="30" t="s">
        <v>420</v>
      </c>
      <c r="E38" s="52" t="s">
        <v>652</v>
      </c>
      <c r="F38" s="30" t="s">
        <v>31</v>
      </c>
      <c r="G38" s="8" t="s">
        <v>653</v>
      </c>
      <c r="H38" s="30" t="s">
        <v>654</v>
      </c>
      <c r="I38" s="22" t="s">
        <v>655</v>
      </c>
      <c r="J38" s="8" t="s">
        <v>412</v>
      </c>
      <c r="K38" s="8" t="s">
        <v>648</v>
      </c>
      <c r="L38" s="8" t="s">
        <v>656</v>
      </c>
      <c r="M38" s="8" t="s">
        <v>369</v>
      </c>
      <c r="N38" s="8" t="s">
        <v>657</v>
      </c>
      <c r="O38" s="19" t="s">
        <v>658</v>
      </c>
      <c r="P38" s="7" t="str">
        <f>HYPERLINK("https://drive.google.com/file/d/1SFSEPrvupnTHlqU2CPw_XAVYiyX2E0os/view?usp=drivesdk","143_Surat Tugas - DELTA EXACT CENDEKIA")</f>
        <v>143_Surat Tugas - DELTA EXACT CENDEKIA</v>
      </c>
      <c r="Q38" s="8" t="s">
        <v>659</v>
      </c>
    </row>
    <row r="39">
      <c r="A39" s="8">
        <v>144.0</v>
      </c>
      <c r="B39" s="8" t="s">
        <v>349</v>
      </c>
      <c r="C39" s="27" t="s">
        <v>59</v>
      </c>
      <c r="D39" s="30" t="s">
        <v>420</v>
      </c>
      <c r="E39" s="52" t="s">
        <v>660</v>
      </c>
      <c r="F39" s="30" t="s">
        <v>31</v>
      </c>
      <c r="G39" s="22" t="s">
        <v>661</v>
      </c>
      <c r="H39" s="30" t="s">
        <v>662</v>
      </c>
      <c r="I39" s="8" t="s">
        <v>663</v>
      </c>
      <c r="J39" s="8" t="s">
        <v>412</v>
      </c>
      <c r="K39" s="8" t="s">
        <v>664</v>
      </c>
      <c r="L39" s="8" t="s">
        <v>656</v>
      </c>
      <c r="M39" s="8" t="s">
        <v>369</v>
      </c>
      <c r="N39" s="8" t="s">
        <v>665</v>
      </c>
      <c r="O39" s="19" t="s">
        <v>666</v>
      </c>
      <c r="P39" s="7" t="str">
        <f>HYPERLINK("https://drive.google.com/file/d/1eCLenSR1kHkSCQL1t6RrPHq3WtlAy39A/view?usp=drivesdk","144_Surat Tugas - RIANG RIANG GEMBIRA")</f>
        <v>144_Surat Tugas - RIANG RIANG GEMBIRA</v>
      </c>
      <c r="Q39" s="8" t="s">
        <v>667</v>
      </c>
    </row>
  </sheetData>
  <dataValidations>
    <dataValidation type="list" allowBlank="1" showErrorMessage="1" sqref="F2:F39">
      <formula1>"Auditor,Observer,Administrator"</formula1>
    </dataValidation>
    <dataValidation type="list" allowBlank="1" showErrorMessage="1" sqref="D2:D39">
      <formula1>"Auditor,Lead Auditor"</formula1>
    </dataValidation>
  </dataValidations>
  <hyperlinks>
    <hyperlink r:id="rId1" ref="O2"/>
    <hyperlink r:id="rId2" ref="E3"/>
    <hyperlink r:id="rId3" ref="O3"/>
    <hyperlink r:id="rId4" ref="O4"/>
    <hyperlink r:id="rId5" ref="O5"/>
    <hyperlink r:id="rId6" ref="O6"/>
    <hyperlink r:id="rId7" ref="O7"/>
    <hyperlink r:id="rId8" ref="E8"/>
    <hyperlink r:id="rId9" ref="O8"/>
    <hyperlink r:id="rId10" ref="O9"/>
    <hyperlink r:id="rId11" ref="O10"/>
    <hyperlink r:id="rId12" ref="E11"/>
    <hyperlink r:id="rId13" ref="O11"/>
    <hyperlink r:id="rId14" ref="E12"/>
    <hyperlink r:id="rId15" ref="O12"/>
    <hyperlink r:id="rId16" ref="O13"/>
    <hyperlink r:id="rId17" ref="O14"/>
    <hyperlink r:id="rId18" ref="O15"/>
    <hyperlink r:id="rId19" ref="O16"/>
    <hyperlink r:id="rId20" ref="E17"/>
    <hyperlink r:id="rId21" ref="O17"/>
    <hyperlink r:id="rId22" ref="O18"/>
    <hyperlink r:id="rId23" ref="E19"/>
    <hyperlink r:id="rId24" ref="O19"/>
    <hyperlink r:id="rId25" ref="O20"/>
    <hyperlink r:id="rId26" ref="O21"/>
    <hyperlink r:id="rId27" ref="O22"/>
    <hyperlink r:id="rId28" ref="O23"/>
    <hyperlink r:id="rId29" ref="O24"/>
    <hyperlink r:id="rId30" ref="E25"/>
    <hyperlink r:id="rId31" ref="O25"/>
    <hyperlink r:id="rId32" ref="E26"/>
    <hyperlink r:id="rId33" ref="O26"/>
    <hyperlink r:id="rId34" ref="O27"/>
    <hyperlink r:id="rId35" ref="O28"/>
    <hyperlink r:id="rId36" ref="O29"/>
    <hyperlink r:id="rId37" ref="O30"/>
    <hyperlink r:id="rId38" ref="E31"/>
    <hyperlink r:id="rId39" ref="O31"/>
    <hyperlink r:id="rId40" ref="O32"/>
    <hyperlink r:id="rId41" ref="O33"/>
    <hyperlink r:id="rId42" ref="O34"/>
    <hyperlink r:id="rId43" ref="O35"/>
    <hyperlink r:id="rId44" ref="O36"/>
    <hyperlink r:id="rId45" ref="O37"/>
    <hyperlink r:id="rId46" ref="O38"/>
    <hyperlink r:id="rId47" ref="O39"/>
  </hyperlinks>
  <drawing r:id="rId48"/>
  <tableParts count="7">
    <tablePart r:id="rId56"/>
    <tablePart r:id="rId57"/>
    <tablePart r:id="rId58"/>
    <tablePart r:id="rId59"/>
    <tablePart r:id="rId60"/>
    <tablePart r:id="rId61"/>
    <tablePart r:id="rId6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5.38"/>
  </cols>
  <sheetData>
    <row r="1">
      <c r="A1" s="16" t="s">
        <v>26</v>
      </c>
      <c r="B1" s="16" t="s">
        <v>27</v>
      </c>
      <c r="C1" s="53" t="s">
        <v>668</v>
      </c>
      <c r="D1" s="53" t="s">
        <v>669</v>
      </c>
      <c r="E1" s="53" t="s">
        <v>670</v>
      </c>
      <c r="F1" s="53" t="s">
        <v>671</v>
      </c>
      <c r="G1" s="53" t="s">
        <v>672</v>
      </c>
      <c r="H1" s="53" t="s">
        <v>673</v>
      </c>
      <c r="I1" s="53" t="s">
        <v>5</v>
      </c>
      <c r="J1" s="53" t="s">
        <v>399</v>
      </c>
      <c r="K1" s="53" t="s">
        <v>400</v>
      </c>
      <c r="L1" s="16" t="s">
        <v>6</v>
      </c>
      <c r="M1" s="16" t="s">
        <v>402</v>
      </c>
      <c r="N1" s="16" t="s">
        <v>7</v>
      </c>
      <c r="O1" s="16" t="s">
        <v>403</v>
      </c>
      <c r="P1" s="54" t="s">
        <v>674</v>
      </c>
      <c r="Q1" s="54" t="s">
        <v>675</v>
      </c>
      <c r="R1" s="54" t="s">
        <v>676</v>
      </c>
      <c r="S1" s="54" t="s">
        <v>677</v>
      </c>
      <c r="T1" s="16"/>
      <c r="U1" s="16"/>
      <c r="V1" s="16"/>
      <c r="W1" s="16"/>
      <c r="X1" s="16"/>
      <c r="Y1" s="16"/>
      <c r="Z1" s="16"/>
      <c r="AA1" s="16"/>
      <c r="AB1" s="16"/>
    </row>
    <row r="2">
      <c r="A2" s="20" t="s">
        <v>678</v>
      </c>
      <c r="B2" s="8" t="s">
        <v>37</v>
      </c>
      <c r="C2" s="21" t="s">
        <v>74</v>
      </c>
      <c r="D2" s="30" t="s">
        <v>420</v>
      </c>
      <c r="E2" s="55" t="s">
        <v>679</v>
      </c>
      <c r="F2" s="23" t="s">
        <v>31</v>
      </c>
      <c r="G2" s="23" t="s">
        <v>680</v>
      </c>
      <c r="H2" s="23" t="s">
        <v>681</v>
      </c>
      <c r="I2" s="23" t="s">
        <v>75</v>
      </c>
      <c r="J2" s="23" t="s">
        <v>75</v>
      </c>
      <c r="K2" s="23" t="s">
        <v>73</v>
      </c>
      <c r="L2" s="23" t="s">
        <v>682</v>
      </c>
      <c r="M2" s="23" t="s">
        <v>683</v>
      </c>
      <c r="N2" s="8" t="s">
        <v>684</v>
      </c>
      <c r="O2" s="8" t="s">
        <v>685</v>
      </c>
      <c r="P2" s="8" t="s">
        <v>686</v>
      </c>
      <c r="Q2" s="19" t="s">
        <v>687</v>
      </c>
      <c r="R2" s="7" t="str">
        <f>HYPERLINK("https://drive.google.com/file/d/1tIG-wsbl0QSmtwtmiXtpgwtUpgB8VGh-/view?usp=drivesdk","009_Surat Tugas - PT. LEAN LAB INDONESIA")</f>
        <v>009_Surat Tugas - PT. LEAN LAB INDONESIA</v>
      </c>
      <c r="S2" s="8" t="s">
        <v>688</v>
      </c>
    </row>
    <row r="3">
      <c r="A3" s="20" t="s">
        <v>689</v>
      </c>
      <c r="C3" s="21" t="s">
        <v>74</v>
      </c>
      <c r="D3" s="30" t="s">
        <v>420</v>
      </c>
      <c r="E3" s="21" t="s">
        <v>690</v>
      </c>
      <c r="F3" s="23" t="s">
        <v>31</v>
      </c>
      <c r="G3" s="56" t="s">
        <v>409</v>
      </c>
      <c r="H3" s="23" t="s">
        <v>410</v>
      </c>
      <c r="I3" s="57"/>
      <c r="J3" s="57"/>
      <c r="K3" s="57"/>
      <c r="L3" s="57"/>
      <c r="M3" s="57"/>
      <c r="O3" s="8" t="s">
        <v>691</v>
      </c>
      <c r="P3" s="8" t="s">
        <v>692</v>
      </c>
      <c r="Q3" s="19" t="s">
        <v>693</v>
      </c>
      <c r="R3" s="7" t="str">
        <f>HYPERLINK("https://drive.google.com/file/d/1ZH4zfp9D087YYsXX0wkToPRsJgRy-Ie4/view?usp=drivesdk","043_Surat Tugas - ")</f>
        <v>043_Surat Tugas - </v>
      </c>
      <c r="S3" s="8" t="s">
        <v>694</v>
      </c>
    </row>
    <row r="4">
      <c r="A4" s="20" t="s">
        <v>695</v>
      </c>
      <c r="B4" s="8" t="s">
        <v>189</v>
      </c>
      <c r="C4" s="27" t="s">
        <v>59</v>
      </c>
      <c r="D4" s="30" t="s">
        <v>420</v>
      </c>
      <c r="E4" s="55" t="s">
        <v>696</v>
      </c>
      <c r="F4" s="23" t="s">
        <v>31</v>
      </c>
      <c r="G4" s="27" t="s">
        <v>697</v>
      </c>
      <c r="H4" s="23" t="s">
        <v>681</v>
      </c>
      <c r="I4" s="22" t="s">
        <v>199</v>
      </c>
      <c r="J4" s="22" t="s">
        <v>199</v>
      </c>
      <c r="K4" s="22" t="s">
        <v>198</v>
      </c>
      <c r="L4" s="30" t="s">
        <v>698</v>
      </c>
      <c r="M4" s="22" t="s">
        <v>699</v>
      </c>
      <c r="N4" s="22" t="s">
        <v>700</v>
      </c>
      <c r="O4" s="22" t="s">
        <v>701</v>
      </c>
      <c r="P4" s="8" t="s">
        <v>702</v>
      </c>
      <c r="Q4" s="19" t="s">
        <v>703</v>
      </c>
      <c r="R4" s="7" t="str">
        <f>HYPERLINK("https://drive.google.com/file/d/1XurTf5Di8kCM7QhkVBz5ySa_nlaxJVDx/view?usp=drivesdk","065_Surat Tugas - BLASFOLIE INTERNASIONAL INDONESIA")</f>
        <v>065_Surat Tugas - BLASFOLIE INTERNASIONAL INDONESIA</v>
      </c>
      <c r="S4" s="8" t="s">
        <v>694</v>
      </c>
    </row>
    <row r="5">
      <c r="A5" s="20" t="s">
        <v>704</v>
      </c>
      <c r="B5" s="8" t="s">
        <v>189</v>
      </c>
      <c r="C5" s="30" t="s">
        <v>206</v>
      </c>
      <c r="D5" s="44" t="s">
        <v>420</v>
      </c>
      <c r="E5" s="21" t="s">
        <v>705</v>
      </c>
      <c r="F5" s="23" t="s">
        <v>31</v>
      </c>
      <c r="G5" s="56" t="s">
        <v>409</v>
      </c>
      <c r="H5" s="23" t="s">
        <v>410</v>
      </c>
      <c r="I5" s="22" t="s">
        <v>207</v>
      </c>
      <c r="J5" s="22" t="s">
        <v>706</v>
      </c>
      <c r="K5" s="22" t="s">
        <v>205</v>
      </c>
      <c r="L5" s="58"/>
      <c r="M5" s="22" t="s">
        <v>707</v>
      </c>
      <c r="N5" s="8" t="s">
        <v>549</v>
      </c>
      <c r="O5" s="8" t="s">
        <v>708</v>
      </c>
      <c r="P5" s="8" t="s">
        <v>709</v>
      </c>
      <c r="Q5" s="19" t="s">
        <v>710</v>
      </c>
      <c r="R5" s="7" t="str">
        <f>HYPERLINK("https://drive.google.com/file/d/1U0OSKXA14No5S-e1GxCraXqOW-RwK8iX/view?usp=drivesdk","067_Surat Tugas - ASHRI AFIFI")</f>
        <v>067_Surat Tugas - ASHRI AFIFI</v>
      </c>
      <c r="S5" s="8" t="s">
        <v>711</v>
      </c>
    </row>
    <row r="6">
      <c r="A6" s="20" t="s">
        <v>712</v>
      </c>
      <c r="B6" s="8" t="s">
        <v>189</v>
      </c>
      <c r="C6" s="21" t="s">
        <v>74</v>
      </c>
      <c r="D6" s="30" t="s">
        <v>420</v>
      </c>
      <c r="E6" s="55" t="s">
        <v>713</v>
      </c>
      <c r="F6" s="23" t="s">
        <v>31</v>
      </c>
      <c r="G6" s="23" t="s">
        <v>589</v>
      </c>
      <c r="H6" s="23" t="s">
        <v>410</v>
      </c>
      <c r="I6" s="29" t="s">
        <v>231</v>
      </c>
      <c r="J6" s="29" t="s">
        <v>231</v>
      </c>
      <c r="K6" s="22" t="s">
        <v>230</v>
      </c>
      <c r="L6" s="30" t="s">
        <v>515</v>
      </c>
      <c r="M6" s="8" t="s">
        <v>714</v>
      </c>
      <c r="N6" s="8" t="s">
        <v>715</v>
      </c>
      <c r="O6" s="8" t="s">
        <v>716</v>
      </c>
      <c r="P6" s="8" t="s">
        <v>717</v>
      </c>
      <c r="Q6" s="19" t="s">
        <v>718</v>
      </c>
      <c r="R6" s="7" t="str">
        <f>HYPERLINK("https://drive.google.com/file/d/1JeNKkEXwSPr8VmxPkNiaSjrBV3---V7b/view?usp=drivesdk","077_Surat Tugas - PT. Inocrea Indonesia")</f>
        <v>077_Surat Tugas - PT. Inocrea Indonesia</v>
      </c>
      <c r="S6" s="8" t="s">
        <v>719</v>
      </c>
    </row>
    <row r="7">
      <c r="A7" s="20" t="s">
        <v>720</v>
      </c>
      <c r="B7" s="8" t="s">
        <v>189</v>
      </c>
      <c r="C7" s="21" t="s">
        <v>74</v>
      </c>
      <c r="D7" s="30" t="s">
        <v>420</v>
      </c>
      <c r="E7" s="55" t="s">
        <v>721</v>
      </c>
      <c r="F7" s="23" t="s">
        <v>31</v>
      </c>
      <c r="G7" s="23" t="s">
        <v>589</v>
      </c>
      <c r="H7" s="23" t="s">
        <v>410</v>
      </c>
      <c r="I7" s="29" t="s">
        <v>231</v>
      </c>
      <c r="J7" s="29" t="s">
        <v>231</v>
      </c>
      <c r="K7" s="22" t="s">
        <v>230</v>
      </c>
      <c r="L7" s="30" t="s">
        <v>722</v>
      </c>
      <c r="M7" s="8" t="s">
        <v>723</v>
      </c>
      <c r="N7" s="8" t="s">
        <v>715</v>
      </c>
      <c r="O7" s="8" t="s">
        <v>716</v>
      </c>
      <c r="P7" s="8" t="s">
        <v>724</v>
      </c>
      <c r="Q7" s="19" t="s">
        <v>725</v>
      </c>
      <c r="R7" s="7" t="str">
        <f>HYPERLINK("https://drive.google.com/file/d/1mtZThnwb1xCGjx4LmFXyeMedJBXRqP7A/view?usp=drivesdk","079_Surat Tugas - PT. Inocrea Indonesia")</f>
        <v>079_Surat Tugas - PT. Inocrea Indonesia</v>
      </c>
      <c r="S7" s="8" t="s">
        <v>726</v>
      </c>
    </row>
    <row r="8">
      <c r="A8" s="20" t="s">
        <v>727</v>
      </c>
      <c r="B8" s="8" t="s">
        <v>728</v>
      </c>
      <c r="C8" s="30" t="s">
        <v>206</v>
      </c>
      <c r="D8" s="30" t="s">
        <v>420</v>
      </c>
      <c r="E8" s="56" t="s">
        <v>409</v>
      </c>
      <c r="F8" s="23" t="s">
        <v>410</v>
      </c>
      <c r="G8" s="8" t="s">
        <v>729</v>
      </c>
      <c r="H8" s="23" t="s">
        <v>681</v>
      </c>
      <c r="I8" s="59" t="s">
        <v>730</v>
      </c>
      <c r="J8" s="59" t="s">
        <v>730</v>
      </c>
      <c r="K8" s="22" t="s">
        <v>260</v>
      </c>
      <c r="L8" s="44" t="s">
        <v>412</v>
      </c>
      <c r="M8" s="22" t="s">
        <v>731</v>
      </c>
      <c r="N8" s="8" t="s">
        <v>591</v>
      </c>
      <c r="O8" s="32">
        <v>46126.0</v>
      </c>
      <c r="P8" s="8" t="s">
        <v>732</v>
      </c>
      <c r="Q8" s="19" t="s">
        <v>733</v>
      </c>
      <c r="R8" s="7" t="str">
        <f>HYPERLINK("https://drive.google.com/file/d/12-mkhELBm4eXASWh2N32zNH2EH6p4-br/view?usp=drivesdk","093_Surat Tugas - NASI GORENG PADANG  BUNDO KANDUANG")</f>
        <v>093_Surat Tugas - NASI GORENG PADANG  BUNDO KANDUANG</v>
      </c>
      <c r="S8" s="8" t="s">
        <v>734</v>
      </c>
    </row>
    <row r="9">
      <c r="A9" s="20" t="s">
        <v>735</v>
      </c>
      <c r="B9" s="8" t="s">
        <v>728</v>
      </c>
      <c r="C9" s="30" t="s">
        <v>206</v>
      </c>
      <c r="D9" s="30" t="s">
        <v>420</v>
      </c>
      <c r="E9" s="56" t="s">
        <v>409</v>
      </c>
      <c r="F9" s="23" t="s">
        <v>410</v>
      </c>
      <c r="G9" s="8" t="s">
        <v>729</v>
      </c>
      <c r="H9" s="23" t="s">
        <v>681</v>
      </c>
      <c r="I9" s="59" t="s">
        <v>266</v>
      </c>
      <c r="J9" s="59" t="s">
        <v>266</v>
      </c>
      <c r="K9" s="22" t="s">
        <v>265</v>
      </c>
      <c r="L9" s="30" t="s">
        <v>562</v>
      </c>
      <c r="M9" s="22" t="s">
        <v>731</v>
      </c>
      <c r="N9" s="8" t="s">
        <v>591</v>
      </c>
      <c r="O9" s="32">
        <v>46126.0</v>
      </c>
      <c r="P9" s="8" t="s">
        <v>736</v>
      </c>
      <c r="Q9" s="19" t="s">
        <v>737</v>
      </c>
      <c r="R9" s="7" t="str">
        <f>HYPERLINK("https://drive.google.com/file/d/1iX1VgrLe_AYib39-hSkkFMaTmWT1OaRn/view?usp=drivesdk","095_Surat Tugas - MINUMAN RINGAN KOMBUCHA")</f>
        <v>095_Surat Tugas - MINUMAN RINGAN KOMBUCHA</v>
      </c>
      <c r="S9" s="8" t="s">
        <v>734</v>
      </c>
    </row>
    <row r="10">
      <c r="A10" s="20" t="s">
        <v>738</v>
      </c>
      <c r="B10" s="8" t="s">
        <v>728</v>
      </c>
      <c r="C10" s="30" t="s">
        <v>272</v>
      </c>
      <c r="D10" s="30" t="s">
        <v>420</v>
      </c>
      <c r="E10" s="55" t="s">
        <v>739</v>
      </c>
      <c r="F10" s="23" t="s">
        <v>31</v>
      </c>
      <c r="G10" s="22" t="s">
        <v>740</v>
      </c>
      <c r="H10" s="23" t="s">
        <v>681</v>
      </c>
      <c r="I10" s="34" t="s">
        <v>741</v>
      </c>
      <c r="J10" s="34" t="s">
        <v>273</v>
      </c>
      <c r="K10" s="22" t="s">
        <v>271</v>
      </c>
      <c r="L10" s="30" t="s">
        <v>412</v>
      </c>
      <c r="M10" s="22" t="s">
        <v>731</v>
      </c>
      <c r="N10" s="8" t="s">
        <v>591</v>
      </c>
      <c r="O10" s="32">
        <v>46126.0</v>
      </c>
      <c r="P10" s="8" t="s">
        <v>742</v>
      </c>
      <c r="Q10" s="19" t="s">
        <v>743</v>
      </c>
      <c r="R10" s="7" t="str">
        <f>HYPERLINK("https://drive.google.com/file/d/1UV4xpDqsyQLuTyZNLaXjDVn80nhUlKwB/view?usp=drivesdk","091_Surat Tugas - ANJUMUZ ZUHRIYAH")</f>
        <v>091_Surat Tugas - ANJUMUZ ZUHRIYAH</v>
      </c>
      <c r="S10" s="8" t="s">
        <v>734</v>
      </c>
    </row>
    <row r="11">
      <c r="A11" s="20" t="s">
        <v>744</v>
      </c>
      <c r="B11" s="8" t="s">
        <v>728</v>
      </c>
      <c r="C11" s="27" t="s">
        <v>59</v>
      </c>
      <c r="D11" s="30" t="s">
        <v>420</v>
      </c>
      <c r="E11" s="60" t="s">
        <v>745</v>
      </c>
      <c r="F11" s="23" t="s">
        <v>31</v>
      </c>
      <c r="G11" s="61" t="s">
        <v>746</v>
      </c>
      <c r="H11" s="23" t="s">
        <v>681</v>
      </c>
      <c r="I11" s="34" t="s">
        <v>283</v>
      </c>
      <c r="J11" s="34" t="s">
        <v>283</v>
      </c>
      <c r="K11" s="22" t="s">
        <v>282</v>
      </c>
      <c r="L11" s="30" t="s">
        <v>412</v>
      </c>
      <c r="M11" s="8" t="s">
        <v>747</v>
      </c>
      <c r="N11" s="8" t="s">
        <v>591</v>
      </c>
      <c r="O11" s="32">
        <v>46126.0</v>
      </c>
      <c r="P11" s="8" t="s">
        <v>748</v>
      </c>
      <c r="Q11" s="19" t="s">
        <v>749</v>
      </c>
      <c r="R11" s="7" t="str">
        <f>HYPERLINK("https://drive.google.com/file/d/1xPa7EC47KKbp_a7TNYNh91n_ujrkWeeW/view?usp=drivesdk","098_Surat Tugas - PAON-KOE")</f>
        <v>098_Surat Tugas - PAON-KOE</v>
      </c>
      <c r="S11" s="8" t="s">
        <v>750</v>
      </c>
    </row>
    <row r="12">
      <c r="A12" s="20" t="s">
        <v>751</v>
      </c>
      <c r="B12" s="8" t="s">
        <v>728</v>
      </c>
      <c r="C12" s="27" t="s">
        <v>59</v>
      </c>
      <c r="D12" s="30" t="s">
        <v>420</v>
      </c>
      <c r="E12" s="60" t="s">
        <v>752</v>
      </c>
      <c r="F12" s="23" t="s">
        <v>31</v>
      </c>
      <c r="G12" s="61" t="s">
        <v>753</v>
      </c>
      <c r="H12" s="23" t="s">
        <v>681</v>
      </c>
      <c r="I12" s="34" t="s">
        <v>289</v>
      </c>
      <c r="J12" s="34" t="s">
        <v>289</v>
      </c>
      <c r="K12" s="22" t="s">
        <v>288</v>
      </c>
      <c r="L12" s="8" t="s">
        <v>412</v>
      </c>
      <c r="M12" s="22" t="s">
        <v>754</v>
      </c>
      <c r="N12" s="8" t="s">
        <v>591</v>
      </c>
      <c r="O12" s="32">
        <v>46126.0</v>
      </c>
      <c r="P12" s="8" t="s">
        <v>755</v>
      </c>
      <c r="Q12" s="19" t="s">
        <v>756</v>
      </c>
      <c r="R12" s="7" t="str">
        <f>HYPERLINK("https://drive.google.com/file/d/1_ma1Pg4lO9GZ218bIHr0h4G_IfnbDZ3D/view?usp=drivesdk","099_Surat Tugas - Bakemood Bakehouse")</f>
        <v>099_Surat Tugas - Bakemood Bakehouse</v>
      </c>
      <c r="S12" s="8" t="s">
        <v>750</v>
      </c>
    </row>
    <row r="13">
      <c r="A13" s="8">
        <v>102.0</v>
      </c>
      <c r="B13" s="8" t="s">
        <v>728</v>
      </c>
      <c r="C13" s="27" t="s">
        <v>301</v>
      </c>
      <c r="D13" s="30" t="s">
        <v>420</v>
      </c>
      <c r="E13" s="60" t="s">
        <v>757</v>
      </c>
      <c r="F13" s="23" t="s">
        <v>31</v>
      </c>
      <c r="G13" s="61" t="s">
        <v>758</v>
      </c>
      <c r="H13" s="23" t="s">
        <v>681</v>
      </c>
      <c r="I13" s="34" t="s">
        <v>302</v>
      </c>
      <c r="J13" s="34" t="s">
        <v>759</v>
      </c>
      <c r="K13" s="22" t="s">
        <v>760</v>
      </c>
      <c r="L13" s="8" t="s">
        <v>412</v>
      </c>
      <c r="M13" s="22" t="s">
        <v>761</v>
      </c>
      <c r="N13" s="8" t="s">
        <v>762</v>
      </c>
      <c r="O13" s="32">
        <v>46126.0</v>
      </c>
      <c r="P13" s="8" t="s">
        <v>763</v>
      </c>
      <c r="Q13" s="19" t="s">
        <v>764</v>
      </c>
      <c r="R13" s="7" t="str">
        <f>HYPERLINK("https://drive.google.com/file/d/1dtrcsbUdkm-ISmiBOTAnLPPvridriERZ/view?usp=drivesdk","102_Surat Tugas - Yayasan Sinergi Langkah Kemakmuran")</f>
        <v>102_Surat Tugas - Yayasan Sinergi Langkah Kemakmuran</v>
      </c>
      <c r="S13" s="8" t="s">
        <v>765</v>
      </c>
    </row>
    <row r="14">
      <c r="A14" s="8">
        <v>103.0</v>
      </c>
      <c r="B14" s="8" t="s">
        <v>728</v>
      </c>
      <c r="C14" s="27" t="s">
        <v>301</v>
      </c>
      <c r="D14" s="30" t="s">
        <v>420</v>
      </c>
      <c r="E14" s="60" t="s">
        <v>757</v>
      </c>
      <c r="F14" s="23" t="s">
        <v>31</v>
      </c>
      <c r="G14" s="61" t="s">
        <v>758</v>
      </c>
      <c r="H14" s="23" t="s">
        <v>681</v>
      </c>
      <c r="I14" s="34" t="s">
        <v>308</v>
      </c>
      <c r="J14" s="34" t="s">
        <v>766</v>
      </c>
      <c r="K14" s="22" t="s">
        <v>307</v>
      </c>
      <c r="L14" s="22" t="s">
        <v>767</v>
      </c>
      <c r="M14" s="22" t="s">
        <v>768</v>
      </c>
      <c r="N14" s="8" t="s">
        <v>762</v>
      </c>
      <c r="O14" s="32">
        <v>46126.0</v>
      </c>
      <c r="P14" s="8" t="s">
        <v>769</v>
      </c>
      <c r="Q14" s="19" t="s">
        <v>770</v>
      </c>
      <c r="R14" s="7" t="str">
        <f>HYPERLINK("https://drive.google.com/file/d/1QEGVL8Y9eLRkalEDR9mLMU2or-8gLqIm/view?usp=drivesdk","103_Surat Tugas - Tanti Sopiah")</f>
        <v>103_Surat Tugas - Tanti Sopiah</v>
      </c>
      <c r="S14" s="8" t="s">
        <v>765</v>
      </c>
    </row>
    <row r="15">
      <c r="A15" s="8">
        <v>106.0</v>
      </c>
      <c r="B15" s="8" t="s">
        <v>728</v>
      </c>
      <c r="C15" s="21" t="s">
        <v>74</v>
      </c>
      <c r="D15" s="30" t="s">
        <v>420</v>
      </c>
      <c r="E15" s="62" t="s">
        <v>771</v>
      </c>
      <c r="F15" s="23" t="s">
        <v>410</v>
      </c>
      <c r="G15" s="61" t="s">
        <v>772</v>
      </c>
      <c r="H15" s="23" t="s">
        <v>681</v>
      </c>
      <c r="I15" s="34" t="s">
        <v>773</v>
      </c>
      <c r="J15" s="34" t="s">
        <v>774</v>
      </c>
      <c r="K15" s="22" t="s">
        <v>775</v>
      </c>
      <c r="L15" s="22" t="s">
        <v>776</v>
      </c>
      <c r="M15" s="51"/>
      <c r="N15" s="8" t="s">
        <v>762</v>
      </c>
      <c r="O15" s="32">
        <v>46127.0</v>
      </c>
      <c r="P15" s="8" t="s">
        <v>777</v>
      </c>
      <c r="Q15" s="19" t="s">
        <v>778</v>
      </c>
      <c r="R15" s="7" t="str">
        <f>HYPERLINK("https://drive.google.com/file/d/17lNbHnevJvbNOQg9ypabWghSsrAXltNK/view?usp=drivesdk","106_Surat Tugas - Rizky Kurniaty Husni Dimsum Won")</f>
        <v>106_Surat Tugas - Rizky Kurniaty Husni Dimsum Won</v>
      </c>
      <c r="S15" s="8" t="s">
        <v>765</v>
      </c>
    </row>
    <row r="16">
      <c r="A16" s="20" t="s">
        <v>779</v>
      </c>
      <c r="B16" s="8" t="s">
        <v>728</v>
      </c>
      <c r="C16" s="30" t="s">
        <v>206</v>
      </c>
      <c r="D16" s="30" t="s">
        <v>420</v>
      </c>
      <c r="E16" s="56" t="s">
        <v>409</v>
      </c>
      <c r="F16" s="23" t="s">
        <v>410</v>
      </c>
      <c r="G16" s="8" t="s">
        <v>729</v>
      </c>
      <c r="H16" s="23" t="s">
        <v>681</v>
      </c>
      <c r="I16" s="22" t="s">
        <v>340</v>
      </c>
      <c r="J16" s="59" t="s">
        <v>780</v>
      </c>
      <c r="K16" s="35" t="s">
        <v>339</v>
      </c>
      <c r="L16" s="8" t="s">
        <v>412</v>
      </c>
      <c r="M16" s="8" t="s">
        <v>781</v>
      </c>
      <c r="N16" s="8" t="s">
        <v>782</v>
      </c>
      <c r="O16" s="32">
        <v>46133.0</v>
      </c>
      <c r="P16" s="8" t="s">
        <v>783</v>
      </c>
      <c r="Q16" s="19" t="s">
        <v>784</v>
      </c>
      <c r="R16" s="7" t="str">
        <f>HYPERLINK("https://drive.google.com/file/d/10Fg7efGfItOkV142fsz84su1m7--vMXG/view?usp=drivesdk","121_Surat Tugas - MARINO PEDULI INDONESIA")</f>
        <v>121_Surat Tugas - MARINO PEDULI INDONESIA</v>
      </c>
      <c r="S16" s="8" t="s">
        <v>785</v>
      </c>
    </row>
    <row r="17">
      <c r="A17" s="20" t="s">
        <v>786</v>
      </c>
      <c r="B17" s="8" t="s">
        <v>728</v>
      </c>
      <c r="C17" s="30" t="s">
        <v>206</v>
      </c>
      <c r="D17" s="30" t="s">
        <v>420</v>
      </c>
      <c r="E17" s="56" t="s">
        <v>409</v>
      </c>
      <c r="F17" s="23" t="s">
        <v>410</v>
      </c>
      <c r="G17" s="8" t="s">
        <v>787</v>
      </c>
      <c r="H17" s="23" t="s">
        <v>681</v>
      </c>
      <c r="I17" s="22" t="s">
        <v>346</v>
      </c>
      <c r="J17" s="35" t="s">
        <v>788</v>
      </c>
      <c r="K17" s="35" t="s">
        <v>345</v>
      </c>
      <c r="L17" s="8" t="s">
        <v>412</v>
      </c>
      <c r="M17" s="22" t="s">
        <v>789</v>
      </c>
      <c r="N17" s="8" t="s">
        <v>790</v>
      </c>
      <c r="O17" s="32">
        <v>46133.0</v>
      </c>
      <c r="P17" s="8" t="s">
        <v>791</v>
      </c>
      <c r="Q17" s="19" t="s">
        <v>792</v>
      </c>
      <c r="R17" s="7" t="str">
        <f>HYPERLINK("https://drive.google.com/file/d/13Dcz5yOTVFzNIAJ3ewlN0mVmjtqYDHHi/view?usp=drivesdk","123_Surat Tugas - SOLIHAT FITRIA")</f>
        <v>123_Surat Tugas - SOLIHAT FITRIA</v>
      </c>
      <c r="S17" s="8" t="s">
        <v>793</v>
      </c>
    </row>
    <row r="18">
      <c r="A18" s="8">
        <v>136.0</v>
      </c>
      <c r="B18" s="8" t="s">
        <v>349</v>
      </c>
      <c r="C18" s="30" t="s">
        <v>536</v>
      </c>
      <c r="D18" s="30" t="s">
        <v>420</v>
      </c>
      <c r="E18" s="23" t="s">
        <v>589</v>
      </c>
      <c r="F18" s="23" t="s">
        <v>31</v>
      </c>
      <c r="G18" s="22" t="s">
        <v>794</v>
      </c>
      <c r="H18" s="23" t="s">
        <v>681</v>
      </c>
      <c r="I18" s="22" t="s">
        <v>66</v>
      </c>
      <c r="J18" s="37" t="s">
        <v>364</v>
      </c>
      <c r="K18" s="37" t="s">
        <v>362</v>
      </c>
      <c r="L18" s="8" t="s">
        <v>412</v>
      </c>
      <c r="M18" s="22" t="s">
        <v>795</v>
      </c>
      <c r="N18" s="8" t="s">
        <v>796</v>
      </c>
      <c r="O18" s="8" t="s">
        <v>350</v>
      </c>
      <c r="P18" s="8" t="s">
        <v>797</v>
      </c>
      <c r="Q18" s="19" t="s">
        <v>798</v>
      </c>
      <c r="R18" s="7" t="str">
        <f>HYPERLINK("https://drive.google.com/file/d/1u2VKVqzYs2vJECj78XqUE3aaQ7S9pdpt/view?usp=drivesdk","136_Surat Tugas - HJ MARDIAH DAN HJ CHALIMAH")</f>
        <v>136_Surat Tugas - HJ MARDIAH DAN HJ CHALIMAH</v>
      </c>
      <c r="S18" s="8" t="s">
        <v>799</v>
      </c>
    </row>
    <row r="19">
      <c r="A19" s="18">
        <v>145.0</v>
      </c>
      <c r="B19" s="8" t="s">
        <v>349</v>
      </c>
      <c r="C19" s="30" t="s">
        <v>206</v>
      </c>
      <c r="D19" s="30" t="s">
        <v>420</v>
      </c>
      <c r="E19" s="21" t="s">
        <v>74</v>
      </c>
      <c r="F19" s="30" t="s">
        <v>31</v>
      </c>
      <c r="G19" s="55" t="s">
        <v>800</v>
      </c>
      <c r="H19" s="23" t="s">
        <v>31</v>
      </c>
      <c r="I19" s="23" t="s">
        <v>386</v>
      </c>
      <c r="J19" s="23" t="s">
        <v>386</v>
      </c>
      <c r="K19" s="23" t="s">
        <v>385</v>
      </c>
      <c r="L19" s="30" t="s">
        <v>698</v>
      </c>
      <c r="M19" s="22" t="s">
        <v>801</v>
      </c>
      <c r="N19" s="8" t="s">
        <v>802</v>
      </c>
      <c r="O19" s="8" t="s">
        <v>803</v>
      </c>
      <c r="P19" s="8" t="s">
        <v>804</v>
      </c>
      <c r="Q19" s="19" t="s">
        <v>805</v>
      </c>
      <c r="R19" s="7" t="str">
        <f>HYPERLINK("https://drive.google.com/file/d/1BgSREWJswpl-QAcmZo8T1SJWEGrpQ1XS/view?usp=drivesdk","145_Surat Tugas - POLI CONTINDO NUSA")</f>
        <v>145_Surat Tugas - POLI CONTINDO NUSA</v>
      </c>
      <c r="S19" s="8" t="s">
        <v>806</v>
      </c>
    </row>
    <row r="20">
      <c r="A20" s="18">
        <v>147.0</v>
      </c>
      <c r="B20" s="40" t="s">
        <v>349</v>
      </c>
      <c r="C20" s="40" t="s">
        <v>301</v>
      </c>
      <c r="D20" s="40" t="s">
        <v>420</v>
      </c>
      <c r="E20" s="23" t="s">
        <v>690</v>
      </c>
      <c r="F20" s="30" t="s">
        <v>31</v>
      </c>
      <c r="G20" s="22" t="s">
        <v>740</v>
      </c>
      <c r="H20" s="23" t="s">
        <v>681</v>
      </c>
      <c r="I20" s="41" t="s">
        <v>391</v>
      </c>
      <c r="J20" s="41" t="s">
        <v>807</v>
      </c>
      <c r="K20" s="41" t="s">
        <v>390</v>
      </c>
      <c r="L20" s="22" t="s">
        <v>808</v>
      </c>
      <c r="M20" s="63" t="s">
        <v>809</v>
      </c>
      <c r="N20" s="63" t="s">
        <v>802</v>
      </c>
      <c r="O20" s="8" t="s">
        <v>803</v>
      </c>
      <c r="P20" s="8" t="s">
        <v>810</v>
      </c>
      <c r="Q20" s="19" t="s">
        <v>811</v>
      </c>
      <c r="R20" s="7" t="str">
        <f>HYPERLINK("https://drive.google.com/file/d/1EbD6x7KNTLVkSQplNCeduP1d7t5lMvAV/view?usp=drivesdk","147_Surat Tugas - RISALAH RIZKIA WISATA")</f>
        <v>147_Surat Tugas - RISALAH RIZKIA WISATA</v>
      </c>
      <c r="S20" s="8" t="s">
        <v>806</v>
      </c>
    </row>
    <row r="21">
      <c r="C21" s="58"/>
      <c r="D21" s="58"/>
      <c r="E21" s="57"/>
      <c r="F21" s="58"/>
      <c r="G21" s="51"/>
      <c r="H21" s="57"/>
      <c r="I21" s="64"/>
      <c r="J21" s="64"/>
      <c r="K21" s="64"/>
      <c r="L21" s="51"/>
      <c r="M21" s="65"/>
    </row>
  </sheetData>
  <dataValidations>
    <dataValidation type="list" allowBlank="1" showErrorMessage="1" sqref="F2:F20 H2:H20">
      <formula1>"Auditor,Observer,Administrator"</formula1>
    </dataValidation>
    <dataValidation type="list" allowBlank="1" showErrorMessage="1" sqref="D2:D20">
      <formula1>"Auditor,Lead Auditor"</formula1>
    </dataValidation>
  </dataValidations>
  <hyperlinks>
    <hyperlink r:id="rId1" ref="E2"/>
    <hyperlink r:id="rId2" ref="Q2"/>
    <hyperlink r:id="rId3" ref="Q3"/>
    <hyperlink r:id="rId4" ref="E4"/>
    <hyperlink r:id="rId5" ref="Q4"/>
    <hyperlink r:id="rId6" ref="Q5"/>
    <hyperlink r:id="rId7" ref="E6"/>
    <hyperlink r:id="rId8" ref="Q6"/>
    <hyperlink r:id="rId9" ref="E7"/>
    <hyperlink r:id="rId10" ref="Q7"/>
    <hyperlink r:id="rId11" ref="Q8"/>
    <hyperlink r:id="rId12" ref="Q9"/>
    <hyperlink r:id="rId13" ref="E10"/>
    <hyperlink r:id="rId14" ref="Q10"/>
    <hyperlink r:id="rId15" ref="Q11"/>
    <hyperlink r:id="rId16" ref="Q12"/>
    <hyperlink r:id="rId17" ref="Q13"/>
    <hyperlink r:id="rId18" ref="Q14"/>
    <hyperlink r:id="rId19" ref="E15"/>
    <hyperlink r:id="rId20" ref="Q15"/>
    <hyperlink r:id="rId21" ref="Q16"/>
    <hyperlink r:id="rId22" ref="Q17"/>
    <hyperlink r:id="rId23" ref="Q18"/>
    <hyperlink r:id="rId24" ref="G19"/>
    <hyperlink r:id="rId25" ref="Q19"/>
    <hyperlink r:id="rId26" ref="Q20"/>
  </hyperlinks>
  <drawing r:id="rId27"/>
  <tableParts count="1">
    <tablePart r:id="rId2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6" t="s">
        <v>26</v>
      </c>
      <c r="B1" s="16" t="s">
        <v>27</v>
      </c>
      <c r="C1" s="16" t="s">
        <v>668</v>
      </c>
      <c r="D1" s="16" t="s">
        <v>669</v>
      </c>
      <c r="E1" s="16" t="s">
        <v>670</v>
      </c>
      <c r="F1" s="16" t="s">
        <v>671</v>
      </c>
      <c r="G1" s="16" t="s">
        <v>672</v>
      </c>
      <c r="H1" s="16" t="s">
        <v>673</v>
      </c>
      <c r="I1" s="16" t="s">
        <v>812</v>
      </c>
      <c r="J1" s="16" t="s">
        <v>813</v>
      </c>
      <c r="K1" s="16" t="s">
        <v>5</v>
      </c>
      <c r="L1" s="16" t="s">
        <v>399</v>
      </c>
      <c r="M1" s="53" t="s">
        <v>400</v>
      </c>
      <c r="N1" s="16" t="s">
        <v>401</v>
      </c>
      <c r="O1" s="16" t="s">
        <v>402</v>
      </c>
      <c r="P1" s="16" t="s">
        <v>7</v>
      </c>
      <c r="Q1" s="16" t="s">
        <v>403</v>
      </c>
      <c r="R1" s="54" t="s">
        <v>814</v>
      </c>
      <c r="S1" s="54" t="s">
        <v>815</v>
      </c>
      <c r="T1" s="54" t="s">
        <v>816</v>
      </c>
      <c r="U1" s="54" t="s">
        <v>817</v>
      </c>
      <c r="V1" s="16"/>
      <c r="W1" s="16"/>
      <c r="X1" s="16"/>
      <c r="Y1" s="16"/>
      <c r="Z1" s="16"/>
      <c r="AA1" s="16"/>
      <c r="AB1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6" max="9" width="18.88"/>
  </cols>
  <sheetData>
    <row r="1">
      <c r="A1" s="14" t="s">
        <v>818</v>
      </c>
      <c r="B1" s="14" t="s">
        <v>819</v>
      </c>
      <c r="C1" s="14" t="s">
        <v>820</v>
      </c>
      <c r="D1" s="14" t="s">
        <v>821</v>
      </c>
      <c r="E1" s="14" t="s">
        <v>822</v>
      </c>
      <c r="F1" s="15" t="s">
        <v>823</v>
      </c>
      <c r="G1" s="15" t="s">
        <v>824</v>
      </c>
      <c r="H1" s="15" t="s">
        <v>825</v>
      </c>
      <c r="I1" s="15" t="s">
        <v>826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66" t="s">
        <v>42</v>
      </c>
      <c r="B2" s="18" t="s">
        <v>414</v>
      </c>
      <c r="C2" s="16" t="s">
        <v>413</v>
      </c>
      <c r="D2" s="16" t="s">
        <v>827</v>
      </c>
      <c r="E2" s="16" t="s">
        <v>409</v>
      </c>
      <c r="F2" s="8" t="s">
        <v>828</v>
      </c>
      <c r="G2" s="19" t="s">
        <v>829</v>
      </c>
      <c r="H2" s="7" t="str">
        <f>HYPERLINK("https://drive.google.com/file/d/1j5LwuXeROVkpnrpWFdYPCRivmqkJwetz/view?usp=drivesdk","Berkas Audit - SPPG ABDI BANGSA CIANJUR")</f>
        <v>Berkas Audit - SPPG ABDI BANGSA CIANJUR</v>
      </c>
      <c r="I2" s="8" t="s">
        <v>830</v>
      </c>
    </row>
    <row r="3">
      <c r="A3" s="8" t="s">
        <v>831</v>
      </c>
      <c r="B3" s="8" t="s">
        <v>48</v>
      </c>
      <c r="C3" s="8" t="s">
        <v>422</v>
      </c>
      <c r="D3" s="12" t="s">
        <v>832</v>
      </c>
      <c r="E3" s="8" t="s">
        <v>833</v>
      </c>
      <c r="F3" s="8" t="s">
        <v>834</v>
      </c>
      <c r="G3" s="19" t="s">
        <v>835</v>
      </c>
      <c r="H3" s="7" t="str">
        <f>HYPERLINK("https://drive.google.com/file/d/1bB1ZtCSVddqIBOEknGXtibn2fkIbEizi/view?usp=drivesdk","Berkas Audit - Ayam Goreng Happy ")</f>
        <v>Berkas Audit - Ayam Goreng Happy </v>
      </c>
      <c r="I3" s="8" t="s">
        <v>836</v>
      </c>
    </row>
    <row r="4">
      <c r="A4" s="8" t="s">
        <v>837</v>
      </c>
      <c r="B4" s="8" t="s">
        <v>57</v>
      </c>
      <c r="C4" s="23" t="s">
        <v>430</v>
      </c>
      <c r="D4" s="21" t="s">
        <v>59</v>
      </c>
      <c r="E4" s="21" t="s">
        <v>301</v>
      </c>
      <c r="F4" s="8" t="s">
        <v>838</v>
      </c>
      <c r="G4" s="19" t="s">
        <v>839</v>
      </c>
      <c r="H4" s="7" t="str">
        <f>HYPERLINK("https://drive.google.com/file/d/1auCtTjUXtI4YNYmy18OhwV3QIV6GoT1u/view?usp=drivesdk","Berkas Audit - WILLIEM - HATTORI")</f>
        <v>Berkas Audit - WILLIEM - HATTORI</v>
      </c>
      <c r="I4" s="8" t="s">
        <v>840</v>
      </c>
    </row>
    <row r="5">
      <c r="A5" s="22" t="s">
        <v>841</v>
      </c>
      <c r="B5" s="8" t="s">
        <v>57</v>
      </c>
      <c r="C5" s="23" t="s">
        <v>436</v>
      </c>
      <c r="D5" s="21" t="s">
        <v>59</v>
      </c>
      <c r="E5" s="21" t="s">
        <v>301</v>
      </c>
      <c r="F5" s="8" t="s">
        <v>842</v>
      </c>
      <c r="G5" s="19" t="s">
        <v>843</v>
      </c>
      <c r="H5" s="7" t="str">
        <f>HYPERLINK("https://drive.google.com/file/d/1xUqQ0shLMdrrd4mgCMF_Nr5HGlSuCM1M/view?usp=drivesdk","Berkas Audit - HJ MARDIAH DAN HJ CHALIMAH - SPPG JAKSEL MAMPANG PRAPATAN BANGKA 1 &amp; 2")</f>
        <v>Berkas Audit - HJ MARDIAH DAN HJ CHALIMAH - SPPG JAKSEL MAMPANG PRAPATAN BANGKA 1 &amp; 2</v>
      </c>
      <c r="I5" s="8" t="s">
        <v>844</v>
      </c>
    </row>
    <row r="6">
      <c r="A6" s="22" t="s">
        <v>84</v>
      </c>
      <c r="B6" s="67" t="s">
        <v>81</v>
      </c>
      <c r="C6" s="67" t="s">
        <v>442</v>
      </c>
      <c r="D6" s="16" t="s">
        <v>845</v>
      </c>
      <c r="E6" s="21" t="s">
        <v>301</v>
      </c>
      <c r="F6" s="21" t="s">
        <v>846</v>
      </c>
      <c r="G6" s="55" t="s">
        <v>847</v>
      </c>
      <c r="H6" s="68" t="str">
        <f>HYPERLINK("https://drive.google.com/file/d/1V46lkaevxowm7i383cQEaXb5pvpn6CGI/view?usp=drivesdk","Berkas Audit - Ati Herawati")</f>
        <v>Berkas Audit - Ati Herawati</v>
      </c>
      <c r="I6" s="8" t="s">
        <v>848</v>
      </c>
    </row>
    <row r="7">
      <c r="A7" s="22" t="s">
        <v>91</v>
      </c>
      <c r="B7" s="67" t="s">
        <v>81</v>
      </c>
      <c r="C7" s="67" t="s">
        <v>442</v>
      </c>
      <c r="D7" s="16" t="s">
        <v>849</v>
      </c>
      <c r="E7" s="21" t="s">
        <v>301</v>
      </c>
      <c r="F7" s="21" t="s">
        <v>850</v>
      </c>
      <c r="G7" s="55" t="s">
        <v>851</v>
      </c>
      <c r="H7" s="68" t="str">
        <f>HYPERLINK("https://drive.google.com/file/d/1eAL6qGcUmFCr7a40zbs4HIo7dgTVMGVf/view?usp=drivesdk","Berkas Audit - Yovita Kristi Handayani")</f>
        <v>Berkas Audit - Yovita Kristi Handayani</v>
      </c>
      <c r="I7" s="8" t="s">
        <v>848</v>
      </c>
    </row>
    <row r="8">
      <c r="A8" s="22" t="s">
        <v>97</v>
      </c>
      <c r="B8" s="67" t="s">
        <v>81</v>
      </c>
      <c r="C8" s="23" t="s">
        <v>455</v>
      </c>
      <c r="D8" s="16" t="s">
        <v>852</v>
      </c>
      <c r="E8" s="8" t="s">
        <v>833</v>
      </c>
      <c r="F8" s="21" t="s">
        <v>853</v>
      </c>
      <c r="G8" s="55" t="s">
        <v>854</v>
      </c>
      <c r="H8" s="68" t="str">
        <f>HYPERLINK("https://drive.google.com/file/d/1vCg7IjM4j-VtLnxNAw1iw9ps7XtcpFye/view?usp=drivesdk","Berkas Audit - AKHMAT YATIM")</f>
        <v>Berkas Audit - AKHMAT YATIM</v>
      </c>
      <c r="I8" s="8" t="s">
        <v>855</v>
      </c>
    </row>
    <row r="9">
      <c r="A9" s="22" t="s">
        <v>104</v>
      </c>
      <c r="B9" s="67" t="s">
        <v>102</v>
      </c>
      <c r="C9" s="23" t="s">
        <v>460</v>
      </c>
      <c r="D9" s="69" t="s">
        <v>74</v>
      </c>
      <c r="E9" s="69" t="s">
        <v>301</v>
      </c>
      <c r="F9" s="21" t="s">
        <v>856</v>
      </c>
      <c r="G9" s="55" t="s">
        <v>857</v>
      </c>
      <c r="H9" s="68" t="str">
        <f>HYPERLINK("https://drive.google.com/file/d/1EmV2uID1kM-urv4tHJkDQDTgMr_SFOA8/view?usp=drivesdk","Berkas Audit - INTERNATIONAL CASSAVA CENTER")</f>
        <v>Berkas Audit - INTERNATIONAL CASSAVA CENTER</v>
      </c>
      <c r="I9" s="8" t="s">
        <v>858</v>
      </c>
    </row>
    <row r="10">
      <c r="A10" s="66" t="s">
        <v>111</v>
      </c>
      <c r="B10" s="67" t="s">
        <v>109</v>
      </c>
      <c r="C10" s="66" t="s">
        <v>469</v>
      </c>
      <c r="D10" s="21" t="s">
        <v>59</v>
      </c>
      <c r="E10" s="70" t="s">
        <v>859</v>
      </c>
      <c r="F10" s="21" t="s">
        <v>860</v>
      </c>
      <c r="G10" s="55" t="s">
        <v>861</v>
      </c>
      <c r="H10" s="68" t="str">
        <f>HYPERLINK("https://drive.google.com/file/d/1lBgpgn_7rfhaAZ8R-Chl-xCX2JUFJJpA/view?usp=drivesdk","Berkas Audit - KULINER PRIMA VIDYA")</f>
        <v>Berkas Audit - KULINER PRIMA VIDYA</v>
      </c>
      <c r="I10" s="8" t="s">
        <v>862</v>
      </c>
    </row>
    <row r="11">
      <c r="A11" s="22" t="s">
        <v>117</v>
      </c>
      <c r="B11" s="67" t="s">
        <v>109</v>
      </c>
      <c r="C11" s="23" t="s">
        <v>442</v>
      </c>
      <c r="D11" s="21" t="s">
        <v>59</v>
      </c>
      <c r="E11" s="8" t="s">
        <v>833</v>
      </c>
      <c r="F11" s="21" t="s">
        <v>863</v>
      </c>
      <c r="G11" s="55" t="s">
        <v>864</v>
      </c>
      <c r="H11" s="68" t="str">
        <f>HYPERLINK("https://drive.google.com/file/d/1CaN36IWi0YumxZCgUaeuLhXNldd7zqTr/view?usp=drivesdk","Berkas Audit - AYAM GORENG REMPAH MURNI ")</f>
        <v>Berkas Audit - AYAM GORENG REMPAH MURNI </v>
      </c>
      <c r="I11" s="8" t="s">
        <v>865</v>
      </c>
    </row>
    <row r="12">
      <c r="A12" s="22" t="s">
        <v>123</v>
      </c>
      <c r="B12" s="67" t="s">
        <v>109</v>
      </c>
      <c r="C12" s="23" t="s">
        <v>442</v>
      </c>
      <c r="D12" s="21" t="s">
        <v>59</v>
      </c>
      <c r="E12" s="8" t="s">
        <v>833</v>
      </c>
      <c r="F12" s="21" t="s">
        <v>866</v>
      </c>
      <c r="G12" s="55" t="s">
        <v>867</v>
      </c>
      <c r="H12" s="68" t="str">
        <f>HYPERLINK("https://drive.google.com/file/d/1EJ9d3xUBpV6Pe27m7mLEkegOfeXLKQwQ/view?usp=drivesdk","Berkas Audit - AMELISAH BAKSO HUHAHUHA")</f>
        <v>Berkas Audit - AMELISAH BAKSO HUHAHUHA</v>
      </c>
      <c r="I12" s="8" t="s">
        <v>865</v>
      </c>
    </row>
    <row r="13">
      <c r="A13" s="22" t="s">
        <v>128</v>
      </c>
      <c r="B13" s="67" t="s">
        <v>109</v>
      </c>
      <c r="C13" s="23" t="s">
        <v>488</v>
      </c>
      <c r="D13" s="69" t="s">
        <v>74</v>
      </c>
      <c r="E13" s="16" t="s">
        <v>409</v>
      </c>
      <c r="F13" s="21" t="s">
        <v>868</v>
      </c>
      <c r="G13" s="55" t="s">
        <v>869</v>
      </c>
      <c r="H13" s="68" t="str">
        <f>HYPERLINK("https://drive.google.com/file/d/1nMoZWaJNl321J7t_P5hfLfAe7V58PrKG/view?usp=drivesdk","Berkas Audit - AKHIDIN S")</f>
        <v>Berkas Audit - AKHIDIN S</v>
      </c>
      <c r="I13" s="8" t="s">
        <v>865</v>
      </c>
    </row>
    <row r="14">
      <c r="A14" s="22" t="s">
        <v>136</v>
      </c>
      <c r="B14" s="67" t="s">
        <v>134</v>
      </c>
      <c r="C14" s="23" t="s">
        <v>494</v>
      </c>
      <c r="D14" s="69" t="s">
        <v>74</v>
      </c>
      <c r="E14" s="16" t="s">
        <v>409</v>
      </c>
      <c r="F14" s="21" t="s">
        <v>870</v>
      </c>
      <c r="G14" s="55" t="s">
        <v>871</v>
      </c>
      <c r="H14" s="68" t="str">
        <f>HYPERLINK("https://drive.google.com/file/d/1_T6BlQMNzeu3tg6Ba3Ep_jjv3pBl-yuA/view?usp=drivesdk","Berkas Audit - MAT CHOLIL")</f>
        <v>Berkas Audit - MAT CHOLIL</v>
      </c>
      <c r="I14" s="8" t="s">
        <v>872</v>
      </c>
    </row>
    <row r="15">
      <c r="A15" s="22" t="s">
        <v>151</v>
      </c>
      <c r="B15" s="67" t="s">
        <v>148</v>
      </c>
      <c r="C15" s="23" t="s">
        <v>501</v>
      </c>
      <c r="D15" s="16" t="s">
        <v>873</v>
      </c>
      <c r="E15" s="21" t="s">
        <v>59</v>
      </c>
      <c r="F15" s="21" t="s">
        <v>874</v>
      </c>
      <c r="G15" s="55" t="s">
        <v>875</v>
      </c>
      <c r="H15" s="68" t="str">
        <f>HYPERLINK("https://drive.google.com/file/d/1Ndmr1jG1KR-hNUvR4kTOT3hwjPvwTpNB/view?usp=drivesdk","Berkas Audit - HERRY CHANDRA")</f>
        <v>Berkas Audit - HERRY CHANDRA</v>
      </c>
      <c r="I15" s="8" t="s">
        <v>872</v>
      </c>
    </row>
    <row r="16">
      <c r="A16" s="22" t="s">
        <v>158</v>
      </c>
      <c r="B16" s="67" t="s">
        <v>155</v>
      </c>
      <c r="C16" s="23" t="s">
        <v>508</v>
      </c>
      <c r="D16" s="16" t="s">
        <v>876</v>
      </c>
      <c r="E16" s="16" t="s">
        <v>409</v>
      </c>
      <c r="F16" s="21" t="s">
        <v>877</v>
      </c>
      <c r="G16" s="55" t="s">
        <v>878</v>
      </c>
      <c r="H16" s="68" t="str">
        <f>HYPERLINK("https://drive.google.com/file/d/1ZJiKy3Mj7kVlaoH3jcCiei8gj_Km3PNB/view?usp=drivesdk","Berkas Audit - PT. SEHATI BERSAMA ABADI")</f>
        <v>Berkas Audit - PT. SEHATI BERSAMA ABADI</v>
      </c>
      <c r="I16" s="8" t="s">
        <v>512</v>
      </c>
    </row>
    <row r="17">
      <c r="A17" s="8" t="s">
        <v>165</v>
      </c>
      <c r="B17" s="67" t="s">
        <v>163</v>
      </c>
      <c r="C17" s="8" t="s">
        <v>516</v>
      </c>
      <c r="D17" s="21" t="s">
        <v>59</v>
      </c>
      <c r="E17" s="27" t="s">
        <v>879</v>
      </c>
      <c r="F17" s="21" t="s">
        <v>880</v>
      </c>
      <c r="G17" s="55" t="s">
        <v>881</v>
      </c>
      <c r="H17" s="68" t="str">
        <f>HYPERLINK("https://drive.google.com/file/d/15wPMAgHby5rfcww2JYpRJxsMid9gx0C2/view?usp=drivesdk","Berkas Audit - SAKIKO TERUS JAYA")</f>
        <v>Berkas Audit - SAKIKO TERUS JAYA</v>
      </c>
      <c r="I17" s="8" t="s">
        <v>882</v>
      </c>
    </row>
    <row r="18">
      <c r="A18" s="23" t="s">
        <v>172</v>
      </c>
      <c r="B18" s="8" t="s">
        <v>524</v>
      </c>
      <c r="C18" s="8" t="s">
        <v>523</v>
      </c>
      <c r="D18" s="21" t="s">
        <v>59</v>
      </c>
      <c r="E18" s="56" t="s">
        <v>409</v>
      </c>
      <c r="F18" s="21" t="s">
        <v>883</v>
      </c>
      <c r="G18" s="55" t="s">
        <v>884</v>
      </c>
      <c r="H18" s="68" t="str">
        <f>HYPERLINK("https://drive.google.com/file/d/1MFKUcLnJ6Y0TZCzfOBcXfyj5LcwZYQXm/view?usp=drivesdk","Berkas Audit - DRA WARDATUL ASRIAH")</f>
        <v>Berkas Audit - DRA WARDATUL ASRIAH</v>
      </c>
      <c r="I18" s="8" t="s">
        <v>885</v>
      </c>
    </row>
    <row r="19">
      <c r="A19" s="22" t="s">
        <v>66</v>
      </c>
      <c r="B19" s="8" t="s">
        <v>524</v>
      </c>
      <c r="C19" s="22" t="s">
        <v>532</v>
      </c>
      <c r="D19" s="21" t="s">
        <v>59</v>
      </c>
      <c r="E19" s="8" t="s">
        <v>833</v>
      </c>
      <c r="F19" s="21" t="s">
        <v>886</v>
      </c>
      <c r="G19" s="55" t="s">
        <v>887</v>
      </c>
      <c r="H19" s="68" t="str">
        <f>HYPERLINK("https://drive.google.com/file/d/1oOnyGXeXoXKrNIuqHafEmSSaZKkRzgUS/view?usp=drivesdk","Berkas Audit - HJ MARDIAH DAN HJ CHALIMAH")</f>
        <v>Berkas Audit - HJ MARDIAH DAN HJ CHALIMAH</v>
      </c>
      <c r="I19" s="8" t="s">
        <v>885</v>
      </c>
    </row>
    <row r="20">
      <c r="A20" s="22" t="s">
        <v>184</v>
      </c>
      <c r="B20" s="22" t="s">
        <v>539</v>
      </c>
      <c r="C20" s="22" t="s">
        <v>538</v>
      </c>
      <c r="D20" s="27" t="s">
        <v>59</v>
      </c>
      <c r="E20" s="70" t="s">
        <v>888</v>
      </c>
      <c r="F20" s="21" t="s">
        <v>889</v>
      </c>
      <c r="G20" s="55" t="s">
        <v>890</v>
      </c>
      <c r="H20" s="68" t="str">
        <f>HYPERLINK("https://drive.google.com/file/d/1qCEcxHEGYRBa6IvBXWDkPXsAr3EMQvjr/view?usp=drivesdk","Berkas Audit - TOYA BUMI BERSIH")</f>
        <v>Berkas Audit - TOYA BUMI BERSIH</v>
      </c>
      <c r="I20" s="8" t="s">
        <v>891</v>
      </c>
    </row>
    <row r="21">
      <c r="A21" s="22" t="s">
        <v>192</v>
      </c>
      <c r="B21" s="22" t="s">
        <v>544</v>
      </c>
      <c r="C21" s="22" t="s">
        <v>543</v>
      </c>
      <c r="D21" s="27" t="s">
        <v>59</v>
      </c>
      <c r="E21" s="27" t="s">
        <v>536</v>
      </c>
      <c r="F21" s="8" t="s">
        <v>892</v>
      </c>
      <c r="G21" s="19" t="s">
        <v>893</v>
      </c>
      <c r="H21" s="7" t="str">
        <f>HYPERLINK("https://drive.google.com/file/d/15drJ3dkCokENTm4fY0MXFGNtoWorE7zj/view?usp=drivesdk","Berkas Audit - TB YANUAR ARYANDI")</f>
        <v>Berkas Audit - TB YANUAR ARYANDI</v>
      </c>
      <c r="I21" s="8" t="s">
        <v>894</v>
      </c>
    </row>
    <row r="22">
      <c r="A22" s="8" t="s">
        <v>243</v>
      </c>
      <c r="B22" s="30" t="s">
        <v>895</v>
      </c>
      <c r="C22" s="8" t="s">
        <v>577</v>
      </c>
      <c r="D22" s="27" t="s">
        <v>59</v>
      </c>
      <c r="E22" s="8" t="s">
        <v>833</v>
      </c>
      <c r="F22" s="22" t="s">
        <v>896</v>
      </c>
      <c r="G22" s="19" t="s">
        <v>897</v>
      </c>
      <c r="H22" s="71" t="str">
        <f>HYPERLINK("https://drive.google.com/file/d/1IJBD_FYzRlZr81TocaFiWwTsJihchpVM/view?usp=drivesdk","Berkas Audit - MAJU BAHAGIA CAKUE")</f>
        <v>Berkas Audit - MAJU BAHAGIA CAKUE</v>
      </c>
      <c r="I22" s="8" t="s">
        <v>898</v>
      </c>
      <c r="K22" s="22"/>
    </row>
    <row r="23">
      <c r="A23" s="22" t="s">
        <v>899</v>
      </c>
      <c r="B23" s="30" t="s">
        <v>578</v>
      </c>
      <c r="C23" s="8" t="s">
        <v>577</v>
      </c>
      <c r="D23" s="27" t="s">
        <v>59</v>
      </c>
      <c r="E23" s="8" t="s">
        <v>833</v>
      </c>
      <c r="F23" s="22" t="s">
        <v>900</v>
      </c>
      <c r="G23" s="24" t="s">
        <v>901</v>
      </c>
      <c r="H23" s="72" t="str">
        <f>HYPERLINK("https://drive.google.com/file/d/1s6oqYjTr9YmSWqFLaFz-bdlxW3d0JvI8/view?usp=drivesdk","Berkas Audit - MINYAK URAPAN ANGGUR ")</f>
        <v>Berkas Audit - MINYAK URAPAN ANGGUR </v>
      </c>
      <c r="I23" s="8" t="s">
        <v>902</v>
      </c>
    </row>
    <row r="24">
      <c r="A24" s="8" t="s">
        <v>255</v>
      </c>
      <c r="B24" s="8" t="s">
        <v>903</v>
      </c>
      <c r="C24" s="22" t="s">
        <v>583</v>
      </c>
      <c r="D24" s="69" t="s">
        <v>74</v>
      </c>
      <c r="E24" s="16" t="s">
        <v>409</v>
      </c>
      <c r="F24" s="22" t="s">
        <v>904</v>
      </c>
      <c r="G24" s="24" t="s">
        <v>905</v>
      </c>
      <c r="H24" s="72" t="str">
        <f>HYPERLINK("https://drive.google.com/file/d/1VX7qYoM7G-SmR4HkT95_x6k-X7VDu4Zn/view?usp=drivesdk","Berkas Audit - WINDY RALLY GIANA LESMANA")</f>
        <v>Berkas Audit - WINDY RALLY GIANA LESMANA</v>
      </c>
      <c r="I24" s="8" t="s">
        <v>906</v>
      </c>
    </row>
    <row r="25">
      <c r="A25" s="22" t="s">
        <v>323</v>
      </c>
      <c r="B25" s="22" t="s">
        <v>602</v>
      </c>
      <c r="C25" s="22" t="s">
        <v>601</v>
      </c>
      <c r="D25" s="27" t="s">
        <v>59</v>
      </c>
      <c r="E25" s="27" t="s">
        <v>536</v>
      </c>
      <c r="F25" s="22" t="s">
        <v>907</v>
      </c>
      <c r="G25" s="24" t="s">
        <v>908</v>
      </c>
      <c r="H25" s="72" t="str">
        <f>HYPERLINK("https://drive.google.com/file/d/1rsWc6-SA91V2ObuNbBCLzDowzuCXOxVU/view?usp=drivesdk","Berkas Audit - AURORA REMPAH NUSANTARA")</f>
        <v>Berkas Audit - AURORA REMPAH NUSANTARA</v>
      </c>
      <c r="I25" s="8" t="s">
        <v>906</v>
      </c>
    </row>
    <row r="26">
      <c r="A26" s="34" t="s">
        <v>329</v>
      </c>
      <c r="B26" s="22" t="s">
        <v>617</v>
      </c>
      <c r="C26" s="22" t="s">
        <v>616</v>
      </c>
      <c r="D26" s="27" t="s">
        <v>59</v>
      </c>
      <c r="E26" s="8" t="s">
        <v>833</v>
      </c>
      <c r="F26" s="22" t="s">
        <v>909</v>
      </c>
      <c r="G26" s="24" t="s">
        <v>910</v>
      </c>
      <c r="H26" s="72" t="str">
        <f>HYPERLINK("https://drive.google.com/file/d/1BVXE5Xd6nXomiVhYsc2Ym59NPfrJHxLd/view?usp=drivesdk","Berkas Audit - ANUGERAH KENYANG BERSAMA")</f>
        <v>Berkas Audit - ANUGERAH KENYANG BERSAMA</v>
      </c>
      <c r="I26" s="8" t="s">
        <v>911</v>
      </c>
    </row>
    <row r="27">
      <c r="A27" s="8" t="s">
        <v>335</v>
      </c>
      <c r="B27" s="22" t="s">
        <v>617</v>
      </c>
      <c r="C27" s="8" t="s">
        <v>624</v>
      </c>
      <c r="D27" s="27" t="s">
        <v>59</v>
      </c>
      <c r="E27" s="8" t="s">
        <v>833</v>
      </c>
      <c r="F27" s="22" t="s">
        <v>912</v>
      </c>
      <c r="G27" s="24" t="s">
        <v>913</v>
      </c>
      <c r="H27" s="72" t="str">
        <f>HYPERLINK("https://drive.google.com/file/d/1FCv0VeAzQUfsRoradFch0G3_mNczJmf8/view?usp=drivesdk","Berkas Audit - NADYA AISSYAH MAHARINI")</f>
        <v>Berkas Audit - NADYA AISSYAH MAHARINI</v>
      </c>
      <c r="I27" s="8" t="s">
        <v>911</v>
      </c>
    </row>
    <row r="28">
      <c r="A28" s="34" t="s">
        <v>318</v>
      </c>
      <c r="B28" s="8" t="s">
        <v>602</v>
      </c>
      <c r="C28" s="8" t="s">
        <v>609</v>
      </c>
      <c r="D28" s="27" t="s">
        <v>74</v>
      </c>
      <c r="E28" s="49" t="s">
        <v>914</v>
      </c>
      <c r="F28" s="22" t="s">
        <v>915</v>
      </c>
      <c r="G28" s="24" t="s">
        <v>916</v>
      </c>
      <c r="H28" s="72" t="str">
        <f>HYPERLINK("https://drive.google.com/file/d/1X1F-JF25tctAIF6_nSq0bPPSQrtHKjBn/view?usp=drivesdk","Berkas Audit - PT DOMIKOS INDONESIA")</f>
        <v>Berkas Audit - PT DOMIKOS INDONESIA</v>
      </c>
      <c r="I28" s="8" t="s">
        <v>917</v>
      </c>
    </row>
    <row r="29">
      <c r="A29" s="40" t="s">
        <v>376</v>
      </c>
      <c r="B29" s="8" t="s">
        <v>918</v>
      </c>
      <c r="C29" s="8" t="s">
        <v>641</v>
      </c>
      <c r="D29" s="27" t="s">
        <v>59</v>
      </c>
      <c r="E29" s="27" t="s">
        <v>536</v>
      </c>
      <c r="F29" s="22" t="s">
        <v>919</v>
      </c>
      <c r="G29" s="24" t="s">
        <v>920</v>
      </c>
      <c r="H29" s="72" t="str">
        <f>HYPERLINK("https://drive.google.com/file/d/1RI9vCEtx2NaVJCTO41rgl7WBU8g1op82/view?usp=drivesdk","Berkas Audit - SPPG BOGOR CIAWI JAMBULUWUK 2")</f>
        <v>Berkas Audit - SPPG BOGOR CIAWI JAMBULUWUK 2</v>
      </c>
      <c r="I29" s="8" t="s">
        <v>921</v>
      </c>
    </row>
    <row r="30">
      <c r="A30" s="40" t="s">
        <v>381</v>
      </c>
      <c r="B30" s="8" t="s">
        <v>918</v>
      </c>
      <c r="C30" s="8" t="s">
        <v>648</v>
      </c>
      <c r="D30" s="27" t="s">
        <v>59</v>
      </c>
      <c r="E30" s="27" t="s">
        <v>536</v>
      </c>
      <c r="F30" s="22" t="s">
        <v>922</v>
      </c>
      <c r="G30" s="24" t="s">
        <v>923</v>
      </c>
      <c r="H30" s="72" t="str">
        <f>HYPERLINK("https://drive.google.com/file/d/1x7PLMPdvXL4B077WtEcxu0AIGE7xO8Fh/view?usp=drivesdk","Berkas Audit - SPPG BOGOR CIGOMBONG TUGUJAYA")</f>
        <v>Berkas Audit - SPPG BOGOR CIGOMBONG TUGUJAYA</v>
      </c>
      <c r="I30" s="8" t="s">
        <v>921</v>
      </c>
    </row>
    <row r="31">
      <c r="A31" s="34" t="s">
        <v>352</v>
      </c>
      <c r="B31" s="22" t="s">
        <v>635</v>
      </c>
      <c r="C31" s="51"/>
      <c r="D31" s="27" t="s">
        <v>59</v>
      </c>
      <c r="E31" s="27" t="s">
        <v>924</v>
      </c>
      <c r="F31" s="51"/>
      <c r="G31" s="51"/>
      <c r="H31" s="58"/>
    </row>
  </sheetData>
  <hyperlinks>
    <hyperlink r:id="rId1" ref="G2"/>
    <hyperlink r:id="rId2" ref="D3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  <hyperlink r:id="rId12" ref="G12"/>
    <hyperlink r:id="rId13" ref="G13"/>
    <hyperlink r:id="rId14" ref="G14"/>
    <hyperlink r:id="rId15" ref="G15"/>
    <hyperlink r:id="rId16" ref="G16"/>
    <hyperlink r:id="rId17" ref="G17"/>
    <hyperlink r:id="rId18" ref="G18"/>
    <hyperlink r:id="rId19" ref="G19"/>
    <hyperlink r:id="rId20" ref="G20"/>
    <hyperlink r:id="rId21" ref="G21"/>
    <hyperlink r:id="rId22" ref="G22"/>
    <hyperlink r:id="rId23" ref="G23"/>
    <hyperlink r:id="rId24" ref="G24"/>
    <hyperlink r:id="rId25" ref="G25"/>
    <hyperlink r:id="rId26" ref="G26"/>
    <hyperlink r:id="rId27" ref="G27"/>
    <hyperlink r:id="rId28" ref="E28"/>
    <hyperlink r:id="rId29" ref="G28"/>
    <hyperlink r:id="rId30" ref="G29"/>
    <hyperlink r:id="rId31" ref="G30"/>
  </hyperlinks>
  <drawing r:id="rId32"/>
  <tableParts count="1">
    <tablePart r:id="rId3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925</v>
      </c>
      <c r="B1" s="73" t="s">
        <v>926</v>
      </c>
    </row>
    <row r="2">
      <c r="A2" s="8" t="s">
        <v>927</v>
      </c>
      <c r="B2" s="8" t="s">
        <v>928</v>
      </c>
    </row>
    <row r="3">
      <c r="A3" s="8" t="s">
        <v>929</v>
      </c>
      <c r="B3" s="8" t="s">
        <v>930</v>
      </c>
    </row>
    <row r="4">
      <c r="A4" s="8" t="s">
        <v>931</v>
      </c>
      <c r="B4" s="8" t="s">
        <v>932</v>
      </c>
    </row>
    <row r="5">
      <c r="A5" s="8" t="s">
        <v>933</v>
      </c>
      <c r="B5" s="8" t="s">
        <v>934</v>
      </c>
    </row>
    <row r="6">
      <c r="A6" s="8" t="s">
        <v>935</v>
      </c>
      <c r="B6" s="8" t="s">
        <v>930</v>
      </c>
    </row>
    <row r="7">
      <c r="A7" s="8" t="s">
        <v>936</v>
      </c>
      <c r="B7" s="8" t="s">
        <v>937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10" width="18.88"/>
  </cols>
  <sheetData>
    <row r="1">
      <c r="A1" s="14" t="s">
        <v>818</v>
      </c>
      <c r="B1" s="14" t="s">
        <v>819</v>
      </c>
      <c r="C1" s="14" t="s">
        <v>820</v>
      </c>
      <c r="D1" s="14" t="s">
        <v>821</v>
      </c>
      <c r="E1" s="14" t="s">
        <v>822</v>
      </c>
      <c r="F1" s="14" t="s">
        <v>938</v>
      </c>
      <c r="G1" s="15" t="s">
        <v>939</v>
      </c>
      <c r="H1" s="15" t="s">
        <v>940</v>
      </c>
      <c r="I1" s="15" t="s">
        <v>941</v>
      </c>
      <c r="J1" s="15" t="s">
        <v>942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23" t="s">
        <v>75</v>
      </c>
      <c r="B2" s="8" t="s">
        <v>684</v>
      </c>
      <c r="C2" s="23" t="s">
        <v>683</v>
      </c>
      <c r="D2" s="21" t="s">
        <v>74</v>
      </c>
      <c r="E2" s="55" t="s">
        <v>943</v>
      </c>
      <c r="F2" s="23" t="s">
        <v>680</v>
      </c>
      <c r="G2" s="8" t="s">
        <v>944</v>
      </c>
      <c r="H2" s="19" t="s">
        <v>945</v>
      </c>
      <c r="I2" s="7" t="str">
        <f>HYPERLINK("https://drive.google.com/file/d/1Ns2Io2LXtkRhbreQzhKXCFo6Sbu2QNix/view?usp=drivesdk","Berkas Audit - PT. LEAN LAB INDONESIA")</f>
        <v>Berkas Audit - PT. LEAN LAB INDONESIA</v>
      </c>
      <c r="J2" s="8" t="s">
        <v>946</v>
      </c>
    </row>
    <row r="3">
      <c r="B3" s="8" t="s">
        <v>947</v>
      </c>
      <c r="C3" s="8" t="s">
        <v>442</v>
      </c>
      <c r="D3" s="21" t="s">
        <v>74</v>
      </c>
      <c r="E3" s="55" t="s">
        <v>690</v>
      </c>
      <c r="F3" s="56" t="s">
        <v>409</v>
      </c>
      <c r="G3" s="8" t="s">
        <v>948</v>
      </c>
      <c r="H3" s="19" t="s">
        <v>949</v>
      </c>
      <c r="I3" s="7" t="str">
        <f>HYPERLINK("https://drive.google.com/file/d/1M15opThALBjGSP7aOoxmrfprV9sweQvE/view?usp=drivesdk","Berkas Audit - ")</f>
        <v>Berkas Audit - </v>
      </c>
      <c r="J3" s="8" t="s">
        <v>950</v>
      </c>
    </row>
    <row r="4">
      <c r="A4" s="22" t="s">
        <v>199</v>
      </c>
      <c r="B4" s="22" t="s">
        <v>700</v>
      </c>
      <c r="C4" s="22" t="s">
        <v>699</v>
      </c>
      <c r="D4" s="74" t="s">
        <v>59</v>
      </c>
      <c r="E4" s="75" t="s">
        <v>301</v>
      </c>
      <c r="F4" s="69" t="s">
        <v>697</v>
      </c>
      <c r="G4" s="8" t="s">
        <v>951</v>
      </c>
      <c r="H4" s="19" t="s">
        <v>952</v>
      </c>
      <c r="I4" s="7" t="str">
        <f>HYPERLINK("https://drive.google.com/file/d/1DbA28cALOIZ-bAO_A6mB-1hG14isKOSd/view?usp=drivesdk","Berkas Audit - BLASFOLIE INTERNASIONAL INDONESIA")</f>
        <v>Berkas Audit - BLASFOLIE INTERNASIONAL INDONESIA</v>
      </c>
      <c r="J4" s="8" t="s">
        <v>953</v>
      </c>
    </row>
    <row r="5">
      <c r="A5" s="8" t="s">
        <v>207</v>
      </c>
      <c r="B5" s="8" t="s">
        <v>549</v>
      </c>
      <c r="C5" s="8" t="s">
        <v>707</v>
      </c>
      <c r="D5" s="6" t="s">
        <v>206</v>
      </c>
      <c r="E5" s="8" t="s">
        <v>705</v>
      </c>
      <c r="F5" s="56" t="s">
        <v>409</v>
      </c>
      <c r="G5" s="8" t="s">
        <v>954</v>
      </c>
      <c r="H5" s="19" t="s">
        <v>955</v>
      </c>
      <c r="I5" s="7" t="str">
        <f>HYPERLINK("https://drive.google.com/file/d/1O88X1SQXiVVq0wndXN1XqF3HNGxBcUGh/view?usp=drivesdk","Berkas Audit - ASHRI AFIFI")</f>
        <v>Berkas Audit - ASHRI AFIFI</v>
      </c>
      <c r="J5" s="8" t="s">
        <v>956</v>
      </c>
    </row>
    <row r="6">
      <c r="A6" s="29" t="s">
        <v>231</v>
      </c>
      <c r="B6" s="8" t="s">
        <v>715</v>
      </c>
      <c r="C6" s="8" t="s">
        <v>714</v>
      </c>
      <c r="D6" s="21" t="s">
        <v>74</v>
      </c>
      <c r="E6" s="55" t="s">
        <v>957</v>
      </c>
      <c r="F6" s="21" t="s">
        <v>589</v>
      </c>
      <c r="G6" s="8" t="s">
        <v>958</v>
      </c>
      <c r="H6" s="19" t="s">
        <v>959</v>
      </c>
      <c r="I6" s="7" t="str">
        <f>HYPERLINK("https://drive.google.com/file/d/1p74Qu0LOd8AE3lvZnlZiQNAgHKV9HL6r/view?usp=drivesdk","Berkas Audit - PT. Inocrea Indonesia")</f>
        <v>Berkas Audit - PT. Inocrea Indonesia</v>
      </c>
      <c r="J6" s="8" t="s">
        <v>960</v>
      </c>
    </row>
    <row r="7">
      <c r="A7" s="29" t="s">
        <v>231</v>
      </c>
      <c r="B7" s="8" t="s">
        <v>715</v>
      </c>
      <c r="C7" s="8" t="s">
        <v>723</v>
      </c>
      <c r="D7" s="21" t="s">
        <v>74</v>
      </c>
      <c r="E7" s="55" t="s">
        <v>961</v>
      </c>
      <c r="F7" s="21" t="s">
        <v>589</v>
      </c>
      <c r="G7" s="8" t="s">
        <v>962</v>
      </c>
      <c r="H7" s="19" t="s">
        <v>963</v>
      </c>
      <c r="I7" s="7" t="str">
        <f>HYPERLINK("https://drive.google.com/file/d/1QtJlX4eJDzBeF_C5ewdnIva3fAC0V4OS/view?usp=drivesdk","Berkas Audit - PT. Inocrea Indonesia")</f>
        <v>Berkas Audit - PT. Inocrea Indonesia</v>
      </c>
      <c r="J7" s="8" t="s">
        <v>964</v>
      </c>
    </row>
    <row r="8">
      <c r="A8" s="59" t="s">
        <v>730</v>
      </c>
      <c r="B8" s="8" t="s">
        <v>965</v>
      </c>
      <c r="C8" s="8" t="s">
        <v>442</v>
      </c>
      <c r="D8" s="6" t="s">
        <v>206</v>
      </c>
      <c r="E8" s="56" t="s">
        <v>409</v>
      </c>
      <c r="F8" s="8" t="s">
        <v>729</v>
      </c>
      <c r="G8" s="8" t="s">
        <v>966</v>
      </c>
      <c r="H8" s="19" t="s">
        <v>967</v>
      </c>
      <c r="I8" s="76" t="str">
        <f>HYPERLINK("https://drive.google.com/file/d/1il9aeZ1fp8h2dbq9aqKpXTQEc7YKB6WA/view?usp=drivesdk","Berkas Audit - NASI GORENG PADANG  BUNDO KANDUANG")</f>
        <v>Berkas Audit - NASI GORENG PADANG  BUNDO KANDUANG</v>
      </c>
      <c r="J8" s="35" t="s">
        <v>750</v>
      </c>
    </row>
    <row r="9">
      <c r="A9" s="59" t="s">
        <v>266</v>
      </c>
      <c r="B9" s="8" t="s">
        <v>965</v>
      </c>
      <c r="C9" s="8" t="s">
        <v>442</v>
      </c>
      <c r="D9" s="6" t="s">
        <v>206</v>
      </c>
      <c r="E9" s="56" t="s">
        <v>409</v>
      </c>
      <c r="F9" s="8" t="s">
        <v>729</v>
      </c>
      <c r="G9" s="8" t="s">
        <v>968</v>
      </c>
      <c r="H9" s="19" t="s">
        <v>969</v>
      </c>
      <c r="I9" s="7" t="str">
        <f>HYPERLINK("https://drive.google.com/file/d/16d8nDarn3n9AZxpeghXWGJN9wYvgqgVV/view?usp=drivesdk","Berkas Audit - MINUMAN RINGAN KOMBUCHA")</f>
        <v>Berkas Audit - MINUMAN RINGAN KOMBUCHA</v>
      </c>
      <c r="J9" s="8" t="s">
        <v>750</v>
      </c>
    </row>
    <row r="10">
      <c r="A10" s="34" t="s">
        <v>283</v>
      </c>
      <c r="B10" s="8" t="s">
        <v>965</v>
      </c>
      <c r="C10" s="8" t="s">
        <v>747</v>
      </c>
      <c r="D10" s="27" t="s">
        <v>59</v>
      </c>
      <c r="E10" s="60" t="s">
        <v>970</v>
      </c>
      <c r="F10" s="8" t="s">
        <v>971</v>
      </c>
      <c r="G10" s="8" t="s">
        <v>972</v>
      </c>
      <c r="H10" s="19" t="s">
        <v>973</v>
      </c>
      <c r="I10" s="7" t="str">
        <f>HYPERLINK("https://drive.google.com/file/d/1p23nSB1cRaO_vYfqryCPJJo2ZDgt5P-a/view?usp=drivesdk","Berkas Audit - PAON-KOE")</f>
        <v>Berkas Audit - PAON-KOE</v>
      </c>
      <c r="J10" s="8" t="s">
        <v>750</v>
      </c>
    </row>
    <row r="11">
      <c r="A11" s="34" t="s">
        <v>289</v>
      </c>
      <c r="B11" s="8" t="s">
        <v>965</v>
      </c>
      <c r="C11" s="8" t="s">
        <v>754</v>
      </c>
      <c r="D11" s="27" t="s">
        <v>59</v>
      </c>
      <c r="E11" s="60" t="s">
        <v>974</v>
      </c>
      <c r="F11" s="8" t="s">
        <v>971</v>
      </c>
      <c r="G11" s="8" t="s">
        <v>975</v>
      </c>
      <c r="H11" s="19" t="s">
        <v>976</v>
      </c>
      <c r="I11" s="7" t="str">
        <f>HYPERLINK("https://drive.google.com/file/d/1oxdRT4WF0-ovYEmqYZYJkDsPHu_9zf0v/view?usp=drivesdk","Berkas Audit - Bakemood Bakehouse")</f>
        <v>Berkas Audit - Bakemood Bakehouse</v>
      </c>
      <c r="J11" s="8" t="s">
        <v>977</v>
      </c>
    </row>
    <row r="12">
      <c r="A12" s="34" t="s">
        <v>302</v>
      </c>
      <c r="B12" s="8" t="s">
        <v>762</v>
      </c>
      <c r="C12" s="8" t="s">
        <v>761</v>
      </c>
      <c r="D12" s="55" t="s">
        <v>978</v>
      </c>
      <c r="E12" s="60" t="s">
        <v>757</v>
      </c>
      <c r="F12" s="61" t="s">
        <v>758</v>
      </c>
      <c r="G12" s="8" t="s">
        <v>979</v>
      </c>
      <c r="H12" s="19" t="s">
        <v>980</v>
      </c>
      <c r="I12" s="7" t="str">
        <f>HYPERLINK("https://drive.google.com/file/d/1aUb4b7TOQL0NIO3IYHs204MWccA0oabH/view?usp=drivesdk","Berkas Audit - Yayasan Sinergi Langkah Kemakmuran")</f>
        <v>Berkas Audit - Yayasan Sinergi Langkah Kemakmuran</v>
      </c>
      <c r="J12" s="8" t="s">
        <v>981</v>
      </c>
    </row>
    <row r="13">
      <c r="A13" s="34" t="s">
        <v>308</v>
      </c>
      <c r="B13" s="8" t="s">
        <v>762</v>
      </c>
      <c r="C13" s="8" t="s">
        <v>768</v>
      </c>
      <c r="D13" s="55" t="s">
        <v>982</v>
      </c>
      <c r="E13" s="60" t="s">
        <v>757</v>
      </c>
      <c r="F13" s="61" t="s">
        <v>758</v>
      </c>
      <c r="G13" s="61" t="s">
        <v>983</v>
      </c>
      <c r="H13" s="77" t="s">
        <v>984</v>
      </c>
      <c r="I13" s="7" t="str">
        <f>HYPERLINK("https://drive.google.com/file/d/1ZTZ0PFTGjT-lHE2ZeVOzyQLC9YrapAeM/view?usp=drivesdk","Berkas Audit - Tanti Sopiah")</f>
        <v>Berkas Audit - Tanti Sopiah</v>
      </c>
      <c r="J13" s="34" t="s">
        <v>981</v>
      </c>
      <c r="K13" s="22"/>
      <c r="L13" s="30"/>
      <c r="M13" s="51"/>
    </row>
    <row r="14">
      <c r="A14" s="34" t="s">
        <v>774</v>
      </c>
      <c r="B14" s="8" t="s">
        <v>762</v>
      </c>
      <c r="C14" s="51"/>
      <c r="D14" s="21" t="s">
        <v>74</v>
      </c>
      <c r="E14" s="62" t="s">
        <v>985</v>
      </c>
      <c r="F14" s="61" t="s">
        <v>772</v>
      </c>
      <c r="G14" s="61" t="s">
        <v>986</v>
      </c>
      <c r="H14" s="77" t="s">
        <v>987</v>
      </c>
      <c r="I14" s="78" t="str">
        <f>HYPERLINK("https://drive.google.com/file/d/1hMTuNpHY-HlJxVp8z_oTOSnL4VZNhg1a/view?usp=drivesdk","Berkas Audit - Dimsum Won")</f>
        <v>Berkas Audit - Dimsum Won</v>
      </c>
      <c r="J14" s="34" t="s">
        <v>981</v>
      </c>
      <c r="K14" s="51"/>
      <c r="L14" s="58"/>
      <c r="M14" s="51"/>
    </row>
    <row r="15">
      <c r="A15" s="8" t="s">
        <v>364</v>
      </c>
      <c r="B15" s="8" t="s">
        <v>796</v>
      </c>
      <c r="C15" s="8" t="s">
        <v>795</v>
      </c>
      <c r="D15" s="12" t="s">
        <v>988</v>
      </c>
      <c r="E15" s="55" t="s">
        <v>989</v>
      </c>
      <c r="F15" s="22" t="s">
        <v>794</v>
      </c>
      <c r="G15" s="61" t="s">
        <v>990</v>
      </c>
      <c r="H15" s="77" t="s">
        <v>991</v>
      </c>
      <c r="I15" s="78" t="str">
        <f>HYPERLINK("https://drive.google.com/file/d/1GOZ0UKlpHbmGjFWDTwX4trz4L15KCEGp/view?usp=drivesdk","Berkas Audit - SPPG KALISARI")</f>
        <v>Berkas Audit - SPPG KALISARI</v>
      </c>
      <c r="J15" s="34" t="s">
        <v>992</v>
      </c>
      <c r="K15" s="51"/>
      <c r="L15" s="58"/>
      <c r="M15" s="51"/>
    </row>
    <row r="16">
      <c r="A16" s="22" t="s">
        <v>340</v>
      </c>
      <c r="B16" s="8" t="s">
        <v>782</v>
      </c>
      <c r="C16" s="8" t="s">
        <v>781</v>
      </c>
      <c r="D16" s="6" t="s">
        <v>206</v>
      </c>
      <c r="E16" s="56" t="s">
        <v>409</v>
      </c>
      <c r="F16" s="8" t="s">
        <v>729</v>
      </c>
      <c r="G16" s="61" t="s">
        <v>993</v>
      </c>
      <c r="H16" s="77" t="s">
        <v>994</v>
      </c>
      <c r="I16" s="78" t="str">
        <f>HYPERLINK("https://drive.google.com/file/d/1ktqzvlQHLdev0jUYNOG-wmTXK9CixonE/view?usp=drivesdk","Berkas Audit - MARINO PEDULI INDONESIA")</f>
        <v>Berkas Audit - MARINO PEDULI INDONESIA</v>
      </c>
      <c r="J16" s="34" t="s">
        <v>995</v>
      </c>
      <c r="K16" s="51"/>
      <c r="L16" s="58"/>
      <c r="M16" s="51"/>
    </row>
    <row r="17">
      <c r="A17" s="22" t="s">
        <v>346</v>
      </c>
      <c r="B17" s="8" t="s">
        <v>790</v>
      </c>
      <c r="C17" s="22" t="s">
        <v>789</v>
      </c>
      <c r="D17" s="6" t="s">
        <v>206</v>
      </c>
      <c r="E17" s="56" t="s">
        <v>409</v>
      </c>
      <c r="F17" s="8" t="s">
        <v>787</v>
      </c>
      <c r="G17" s="61" t="s">
        <v>996</v>
      </c>
      <c r="H17" s="77" t="s">
        <v>997</v>
      </c>
      <c r="I17" s="78" t="str">
        <f>HYPERLINK("https://drive.google.com/file/d/1t7Qo52fcBImPLT3KSSYbM1Posmrbw4JE/view?usp=drivesdk","Berkas Audit - SOLIHAT FITRIA")</f>
        <v>Berkas Audit - SOLIHAT FITRIA</v>
      </c>
      <c r="J17" s="34" t="s">
        <v>995</v>
      </c>
      <c r="K17" s="51"/>
      <c r="L17" s="58"/>
      <c r="M17" s="51"/>
    </row>
    <row r="18">
      <c r="A18" s="8" t="s">
        <v>391</v>
      </c>
      <c r="B18" s="8" t="s">
        <v>802</v>
      </c>
      <c r="C18" s="79" t="s">
        <v>809</v>
      </c>
      <c r="D18" s="79" t="s">
        <v>301</v>
      </c>
      <c r="E18" s="23" t="s">
        <v>690</v>
      </c>
      <c r="F18" s="22" t="s">
        <v>998</v>
      </c>
      <c r="G18" s="61" t="s">
        <v>999</v>
      </c>
      <c r="H18" s="77" t="s">
        <v>1000</v>
      </c>
      <c r="I18" s="78" t="str">
        <f>HYPERLINK("https://drive.google.com/file/d/15e5qO2-Uu_PKKki8texEzJR_NkAxDlt3/view?usp=drivesdk","Berkas Audit - RISALAH RIZKIA WISATA")</f>
        <v>Berkas Audit - RISALAH RIZKIA WISATA</v>
      </c>
      <c r="J18" s="34" t="s">
        <v>1001</v>
      </c>
      <c r="K18" s="51"/>
      <c r="L18" s="58"/>
      <c r="M18" s="51"/>
    </row>
    <row r="19">
      <c r="A19" s="23" t="s">
        <v>386</v>
      </c>
      <c r="B19" s="8" t="s">
        <v>802</v>
      </c>
      <c r="C19" s="22" t="s">
        <v>801</v>
      </c>
      <c r="D19" s="66" t="s">
        <v>206</v>
      </c>
      <c r="E19" s="66" t="s">
        <v>74</v>
      </c>
      <c r="F19" s="80" t="s">
        <v>1002</v>
      </c>
      <c r="G19" s="61" t="s">
        <v>1003</v>
      </c>
      <c r="H19" s="77" t="s">
        <v>1004</v>
      </c>
      <c r="I19" s="78" t="str">
        <f>HYPERLINK("https://drive.google.com/file/d/12VIXvd-geCcIgyyh2kUi4I6VEbTOIufc/view?usp=drivesdk","Berkas Audit - POLI CONTINDO NUSA")</f>
        <v>Berkas Audit - POLI CONTINDO NUSA</v>
      </c>
      <c r="J19" s="34" t="s">
        <v>1005</v>
      </c>
      <c r="K19" s="51"/>
      <c r="L19" s="58"/>
      <c r="M19" s="51"/>
    </row>
  </sheetData>
  <hyperlinks>
    <hyperlink r:id="rId1" ref="E2"/>
    <hyperlink r:id="rId2" ref="H2"/>
    <hyperlink r:id="rId3" ref="E3"/>
    <hyperlink r:id="rId4" ref="H3"/>
    <hyperlink r:id="rId5" ref="H4"/>
    <hyperlink r:id="rId6" ref="H5"/>
    <hyperlink r:id="rId7" ref="E6"/>
    <hyperlink r:id="rId8" ref="H6"/>
    <hyperlink r:id="rId9" ref="E7"/>
    <hyperlink r:id="rId10" ref="H7"/>
    <hyperlink r:id="rId11" ref="H8"/>
    <hyperlink r:id="rId12" ref="H9"/>
    <hyperlink r:id="rId13" ref="H10"/>
    <hyperlink r:id="rId14" ref="H11"/>
    <hyperlink r:id="rId15" ref="D12"/>
    <hyperlink r:id="rId16" ref="H12"/>
    <hyperlink r:id="rId17" ref="D13"/>
    <hyperlink r:id="rId18" ref="H13"/>
    <hyperlink r:id="rId19" ref="E14"/>
    <hyperlink r:id="rId20" ref="H14"/>
    <hyperlink r:id="rId21" ref="D15"/>
    <hyperlink r:id="rId22" ref="E15"/>
    <hyperlink r:id="rId23" ref="H15"/>
    <hyperlink r:id="rId24" ref="H16"/>
    <hyperlink r:id="rId25" ref="H17"/>
    <hyperlink r:id="rId26" ref="H18"/>
    <hyperlink r:id="rId27" ref="H19"/>
  </hyperlinks>
  <drawing r:id="rId28"/>
  <tableParts count="2">
    <tablePart r:id="rId31"/>
    <tablePart r:id="rId3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4" t="s">
        <v>818</v>
      </c>
      <c r="B1" s="14" t="s">
        <v>819</v>
      </c>
      <c r="C1" s="14" t="s">
        <v>820</v>
      </c>
      <c r="D1" s="14" t="s">
        <v>821</v>
      </c>
      <c r="E1" s="14" t="s">
        <v>822</v>
      </c>
      <c r="F1" s="14" t="s">
        <v>938</v>
      </c>
      <c r="G1" s="14" t="s">
        <v>1006</v>
      </c>
      <c r="H1" s="81"/>
      <c r="I1" s="81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</row>
    <row r="4">
      <c r="A4" s="1"/>
      <c r="B4" s="1"/>
    </row>
    <row r="7">
      <c r="B7" s="16"/>
    </row>
    <row r="9">
      <c r="B9" s="16"/>
    </row>
    <row r="10">
      <c r="B10" s="1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1007</v>
      </c>
      <c r="B1" s="8" t="s">
        <v>1008</v>
      </c>
      <c r="C1" s="8" t="s">
        <v>1009</v>
      </c>
      <c r="D1" s="8" t="s">
        <v>1010</v>
      </c>
      <c r="E1" s="8" t="s">
        <v>1011</v>
      </c>
      <c r="F1" s="8" t="s">
        <v>1012</v>
      </c>
      <c r="G1" s="8" t="s">
        <v>1013</v>
      </c>
      <c r="H1" s="8" t="s">
        <v>1014</v>
      </c>
      <c r="I1" s="8" t="s">
        <v>1015</v>
      </c>
      <c r="J1" s="8" t="s">
        <v>1016</v>
      </c>
      <c r="K1" s="8" t="s">
        <v>1017</v>
      </c>
      <c r="L1" s="8" t="s">
        <v>1018</v>
      </c>
      <c r="M1" s="8" t="s">
        <v>1019</v>
      </c>
      <c r="N1" s="8" t="s">
        <v>1020</v>
      </c>
      <c r="O1" s="8" t="s">
        <v>1021</v>
      </c>
      <c r="P1" s="8" t="s">
        <v>1022</v>
      </c>
      <c r="Q1" s="8" t="s">
        <v>1023</v>
      </c>
      <c r="R1" s="8" t="s">
        <v>1024</v>
      </c>
      <c r="S1" s="8" t="s">
        <v>1025</v>
      </c>
      <c r="T1" s="8" t="s">
        <v>1026</v>
      </c>
      <c r="U1" s="8" t="s">
        <v>1027</v>
      </c>
      <c r="V1" s="8" t="s">
        <v>1028</v>
      </c>
      <c r="W1" s="8" t="s">
        <v>1029</v>
      </c>
      <c r="X1" s="8" t="s">
        <v>1030</v>
      </c>
      <c r="Y1" s="8" t="s">
        <v>1031</v>
      </c>
      <c r="Z1" s="8" t="s">
        <v>1032</v>
      </c>
      <c r="AA1" s="8" t="s">
        <v>1033</v>
      </c>
      <c r="AB1" s="8" t="s">
        <v>1034</v>
      </c>
      <c r="AC1" s="8" t="s">
        <v>1035</v>
      </c>
    </row>
    <row r="2">
      <c r="A2" s="8" t="s">
        <v>1036</v>
      </c>
      <c r="B2" s="8" t="s">
        <v>16</v>
      </c>
      <c r="C2" s="8" t="s">
        <v>1037</v>
      </c>
      <c r="D2" s="82">
        <v>1.219496042E9</v>
      </c>
      <c r="E2" s="82">
        <v>1.0</v>
      </c>
      <c r="F2" s="82">
        <v>2.0</v>
      </c>
      <c r="G2" s="8" t="s">
        <v>1038</v>
      </c>
      <c r="H2" s="8" t="s">
        <v>1039</v>
      </c>
      <c r="I2" s="8" t="s">
        <v>1039</v>
      </c>
      <c r="J2" s="8" t="s">
        <v>1040</v>
      </c>
      <c r="K2" s="8" t="s">
        <v>1041</v>
      </c>
      <c r="L2" s="8" t="s">
        <v>1041</v>
      </c>
      <c r="M2" s="8" t="s">
        <v>1042</v>
      </c>
      <c r="N2" s="8" t="b">
        <v>1</v>
      </c>
      <c r="O2" s="8" t="s">
        <v>1043</v>
      </c>
      <c r="P2" s="8" t="b">
        <v>0</v>
      </c>
      <c r="R2" s="8" t="b">
        <v>0</v>
      </c>
      <c r="S2" s="8" t="b">
        <v>0</v>
      </c>
      <c r="X2" s="8" t="b">
        <v>0</v>
      </c>
      <c r="AA2" s="8" t="b">
        <v>0</v>
      </c>
    </row>
    <row r="3">
      <c r="A3" s="8" t="s">
        <v>1044</v>
      </c>
      <c r="B3" s="8" t="s">
        <v>1045</v>
      </c>
      <c r="C3" s="8" t="s">
        <v>1046</v>
      </c>
      <c r="D3" s="82">
        <v>0.0</v>
      </c>
      <c r="E3" s="82">
        <v>1.0</v>
      </c>
      <c r="F3" s="82">
        <v>2.0</v>
      </c>
      <c r="G3" s="8" t="s">
        <v>1047</v>
      </c>
      <c r="H3" s="8" t="s">
        <v>1039</v>
      </c>
      <c r="I3" s="8" t="s">
        <v>1039</v>
      </c>
      <c r="J3" s="8" t="s">
        <v>1048</v>
      </c>
      <c r="K3" s="8" t="s">
        <v>1041</v>
      </c>
      <c r="L3" s="8" t="s">
        <v>1041</v>
      </c>
      <c r="M3" s="8" t="s">
        <v>1042</v>
      </c>
      <c r="N3" s="8" t="b">
        <v>1</v>
      </c>
      <c r="O3" s="8" t="s">
        <v>1049</v>
      </c>
      <c r="P3" s="8" t="b">
        <v>0</v>
      </c>
      <c r="R3" s="8" t="b">
        <v>0</v>
      </c>
      <c r="S3" s="8" t="b">
        <v>0</v>
      </c>
      <c r="X3" s="8" t="b">
        <v>0</v>
      </c>
      <c r="AA3" s="8" t="b">
        <v>0</v>
      </c>
    </row>
    <row r="4">
      <c r="A4" s="8" t="s">
        <v>1050</v>
      </c>
      <c r="B4" s="8" t="s">
        <v>1051</v>
      </c>
      <c r="C4" s="8" t="s">
        <v>1052</v>
      </c>
      <c r="D4" s="82">
        <v>6.7771469E8</v>
      </c>
      <c r="E4" s="82">
        <v>1.0</v>
      </c>
      <c r="F4" s="82">
        <v>2.0</v>
      </c>
      <c r="G4" s="8" t="s">
        <v>1047</v>
      </c>
      <c r="H4" s="8" t="s">
        <v>1039</v>
      </c>
      <c r="I4" s="8" t="s">
        <v>1039</v>
      </c>
      <c r="J4" s="8" t="s">
        <v>1048</v>
      </c>
      <c r="K4" s="8" t="s">
        <v>1041</v>
      </c>
      <c r="L4" s="8" t="s">
        <v>1041</v>
      </c>
      <c r="M4" s="8" t="s">
        <v>1042</v>
      </c>
      <c r="N4" s="8" t="b">
        <v>1</v>
      </c>
      <c r="O4" s="8" t="s">
        <v>1053</v>
      </c>
      <c r="P4" s="8" t="b">
        <v>0</v>
      </c>
      <c r="R4" s="8" t="b">
        <v>0</v>
      </c>
      <c r="S4" s="8" t="b">
        <v>0</v>
      </c>
      <c r="X4" s="8" t="b">
        <v>0</v>
      </c>
      <c r="AA4" s="8" t="b">
        <v>0</v>
      </c>
    </row>
    <row r="5">
      <c r="A5" s="8" t="s">
        <v>1054</v>
      </c>
      <c r="B5" s="8" t="s">
        <v>1055</v>
      </c>
      <c r="C5" s="8" t="s">
        <v>1056</v>
      </c>
      <c r="D5" s="82">
        <v>1.062401649E9</v>
      </c>
      <c r="E5" s="82">
        <v>1.0</v>
      </c>
      <c r="F5" s="82">
        <v>2.0</v>
      </c>
      <c r="G5" s="8" t="s">
        <v>1047</v>
      </c>
      <c r="H5" s="8" t="s">
        <v>1039</v>
      </c>
      <c r="I5" s="8" t="s">
        <v>1039</v>
      </c>
      <c r="J5" s="8" t="s">
        <v>1048</v>
      </c>
      <c r="K5" s="8" t="s">
        <v>1041</v>
      </c>
      <c r="L5" s="8" t="s">
        <v>1041</v>
      </c>
      <c r="M5" s="8" t="s">
        <v>1042</v>
      </c>
      <c r="N5" s="8" t="b">
        <v>1</v>
      </c>
      <c r="O5" s="8" t="s">
        <v>1057</v>
      </c>
      <c r="P5" s="8" t="b">
        <v>0</v>
      </c>
      <c r="R5" s="8" t="b">
        <v>0</v>
      </c>
      <c r="S5" s="8" t="b">
        <v>0</v>
      </c>
      <c r="X5" s="8" t="b">
        <v>0</v>
      </c>
      <c r="AA5" s="8" t="b">
        <v>0</v>
      </c>
    </row>
    <row r="6">
      <c r="A6" s="8" t="s">
        <v>1058</v>
      </c>
      <c r="B6" s="8" t="s">
        <v>1059</v>
      </c>
      <c r="C6" s="8" t="s">
        <v>1060</v>
      </c>
      <c r="D6" s="82">
        <v>1.97876538E8</v>
      </c>
      <c r="E6" s="82">
        <v>1.0</v>
      </c>
      <c r="F6" s="82">
        <v>2.0</v>
      </c>
      <c r="G6" s="8" t="s">
        <v>1061</v>
      </c>
      <c r="H6" s="8" t="s">
        <v>1039</v>
      </c>
      <c r="I6" s="8" t="s">
        <v>1039</v>
      </c>
      <c r="J6" s="8" t="s">
        <v>1062</v>
      </c>
      <c r="K6" s="8" t="s">
        <v>1041</v>
      </c>
      <c r="L6" s="8" t="s">
        <v>1041</v>
      </c>
      <c r="M6" s="8" t="s">
        <v>1042</v>
      </c>
      <c r="N6" s="8" t="b">
        <v>1</v>
      </c>
      <c r="O6" s="8" t="s">
        <v>1063</v>
      </c>
      <c r="P6" s="8" t="b">
        <v>0</v>
      </c>
      <c r="R6" s="8" t="b">
        <v>0</v>
      </c>
      <c r="S6" s="8" t="b">
        <v>0</v>
      </c>
      <c r="X6" s="8" t="b">
        <v>0</v>
      </c>
      <c r="AA6" s="8" t="b">
        <v>0</v>
      </c>
    </row>
    <row r="7">
      <c r="A7" s="8" t="s">
        <v>1064</v>
      </c>
      <c r="B7" s="8" t="s">
        <v>1065</v>
      </c>
      <c r="C7" s="8" t="s">
        <v>1066</v>
      </c>
      <c r="D7" s="82">
        <v>6.29952236E8</v>
      </c>
      <c r="E7" s="82">
        <v>1.0</v>
      </c>
      <c r="F7" s="82">
        <v>2.0</v>
      </c>
      <c r="G7" s="8" t="s">
        <v>1061</v>
      </c>
      <c r="H7" s="8" t="s">
        <v>1039</v>
      </c>
      <c r="I7" s="8" t="s">
        <v>1039</v>
      </c>
      <c r="J7" s="8" t="s">
        <v>1062</v>
      </c>
      <c r="K7" s="8" t="s">
        <v>1041</v>
      </c>
      <c r="L7" s="8" t="s">
        <v>1041</v>
      </c>
      <c r="M7" s="8" t="s">
        <v>1042</v>
      </c>
      <c r="N7" s="8" t="b">
        <v>1</v>
      </c>
      <c r="O7" s="8" t="s">
        <v>1067</v>
      </c>
      <c r="P7" s="8" t="b">
        <v>0</v>
      </c>
      <c r="R7" s="8" t="b">
        <v>0</v>
      </c>
      <c r="S7" s="8" t="b">
        <v>0</v>
      </c>
      <c r="X7" s="8" t="b">
        <v>0</v>
      </c>
      <c r="AA7" s="8" t="b">
        <v>0</v>
      </c>
    </row>
    <row r="8">
      <c r="A8" s="8" t="s">
        <v>1068</v>
      </c>
      <c r="B8" s="8" t="s">
        <v>1069</v>
      </c>
      <c r="C8" s="8" t="s">
        <v>1070</v>
      </c>
      <c r="D8" s="82">
        <v>1.824768795E9</v>
      </c>
      <c r="E8" s="82">
        <v>1.0</v>
      </c>
      <c r="F8" s="82">
        <v>2.0</v>
      </c>
      <c r="G8" s="8" t="s">
        <v>1061</v>
      </c>
      <c r="H8" s="8" t="s">
        <v>1039</v>
      </c>
      <c r="I8" s="8" t="s">
        <v>1039</v>
      </c>
      <c r="J8" s="8" t="s">
        <v>1062</v>
      </c>
      <c r="K8" s="8" t="s">
        <v>1041</v>
      </c>
      <c r="L8" s="8" t="s">
        <v>1041</v>
      </c>
      <c r="M8" s="8" t="s">
        <v>1042</v>
      </c>
      <c r="N8" s="8" t="b">
        <v>1</v>
      </c>
      <c r="O8" s="8" t="s">
        <v>1071</v>
      </c>
      <c r="P8" s="8" t="b">
        <v>0</v>
      </c>
      <c r="R8" s="8" t="b">
        <v>0</v>
      </c>
      <c r="S8" s="8" t="b">
        <v>0</v>
      </c>
      <c r="X8" s="8" t="b">
        <v>0</v>
      </c>
      <c r="AA8" s="8" t="b">
        <v>0</v>
      </c>
    </row>
  </sheetData>
  <drawing r:id="rId1"/>
</worksheet>
</file>